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130B102-621C-4450-8A35-3E2EE7A9CA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. Recopilacion Datos" sheetId="2" r:id="rId1"/>
    <sheet name="2. Analisis descriptivo" sheetId="4" r:id="rId2"/>
    <sheet name="3. Analisis de regresión y corr" sheetId="8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" i="4" l="1"/>
  <c r="E81" i="4" s="1"/>
  <c r="E82" i="4" s="1"/>
  <c r="E83" i="4" s="1"/>
  <c r="E84" i="4" s="1"/>
  <c r="D80" i="4"/>
  <c r="D81" i="4" s="1"/>
  <c r="D82" i="4" s="1"/>
  <c r="D83" i="4" s="1"/>
  <c r="D84" i="4" s="1"/>
  <c r="C73" i="4"/>
  <c r="B73" i="4"/>
  <c r="K21" i="8"/>
  <c r="K20" i="8"/>
  <c r="B63" i="8"/>
  <c r="K5" i="8"/>
  <c r="K3" i="8"/>
  <c r="K4" i="8"/>
  <c r="C63" i="8"/>
  <c r="E7" i="4"/>
  <c r="E8" i="4" s="1"/>
  <c r="E9" i="4" s="1"/>
  <c r="E6" i="4"/>
  <c r="C75" i="4"/>
  <c r="C74" i="4"/>
  <c r="C72" i="4"/>
  <c r="C71" i="4"/>
  <c r="B75" i="4"/>
  <c r="B74" i="4"/>
  <c r="B72" i="4"/>
  <c r="B71" i="4"/>
  <c r="C70" i="4"/>
  <c r="B70" i="4"/>
  <c r="E61" i="4"/>
  <c r="E62" i="4" s="1"/>
  <c r="E63" i="4" s="1"/>
  <c r="E64" i="4" s="1"/>
  <c r="D61" i="4"/>
  <c r="D62" i="4" s="1"/>
  <c r="D63" i="4" s="1"/>
  <c r="D64" i="4" s="1"/>
  <c r="E15" i="4"/>
  <c r="E16" i="4" s="1"/>
  <c r="E17" i="4" s="1"/>
  <c r="D15" i="4"/>
  <c r="D16" i="4" s="1"/>
  <c r="D17" i="4" s="1"/>
  <c r="D6" i="4"/>
  <c r="D7" i="4" s="1"/>
  <c r="D8" i="4" s="1"/>
  <c r="D9" i="4" s="1"/>
  <c r="D7" i="8" l="1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G55" i="8" s="1"/>
  <c r="D56" i="8"/>
  <c r="D57" i="8"/>
  <c r="D58" i="8"/>
  <c r="D59" i="8"/>
  <c r="D60" i="8"/>
  <c r="D61" i="8"/>
  <c r="D62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5" i="8"/>
  <c r="D6" i="8"/>
  <c r="D8" i="8"/>
  <c r="D34" i="8"/>
  <c r="D9" i="8"/>
  <c r="D10" i="8"/>
  <c r="D11" i="8"/>
  <c r="D12" i="8"/>
  <c r="D13" i="8"/>
  <c r="D14" i="8"/>
  <c r="D15" i="8"/>
  <c r="D16" i="8"/>
  <c r="D17" i="8"/>
  <c r="D18" i="8"/>
  <c r="D19" i="8"/>
  <c r="D20" i="8"/>
  <c r="D4" i="8"/>
  <c r="E5" i="8"/>
  <c r="H5" i="8" s="1"/>
  <c r="E6" i="8"/>
  <c r="H6" i="8" s="1"/>
  <c r="E7" i="8"/>
  <c r="H7" i="8" s="1"/>
  <c r="E8" i="8"/>
  <c r="H8" i="8" s="1"/>
  <c r="E9" i="8"/>
  <c r="H9" i="8" s="1"/>
  <c r="E10" i="8"/>
  <c r="H10" i="8" s="1"/>
  <c r="E11" i="8"/>
  <c r="H11" i="8" s="1"/>
  <c r="E12" i="8"/>
  <c r="H12" i="8" s="1"/>
  <c r="E13" i="8"/>
  <c r="H13" i="8" s="1"/>
  <c r="E14" i="8"/>
  <c r="H14" i="8" s="1"/>
  <c r="E15" i="8"/>
  <c r="H15" i="8" s="1"/>
  <c r="E16" i="8"/>
  <c r="H16" i="8" s="1"/>
  <c r="E17" i="8"/>
  <c r="H17" i="8" s="1"/>
  <c r="E18" i="8"/>
  <c r="H18" i="8" s="1"/>
  <c r="E20" i="8"/>
  <c r="H20" i="8" s="1"/>
  <c r="E21" i="8"/>
  <c r="H21" i="8" s="1"/>
  <c r="E22" i="8"/>
  <c r="H22" i="8" s="1"/>
  <c r="E23" i="8"/>
  <c r="H23" i="8" s="1"/>
  <c r="E24" i="8"/>
  <c r="H24" i="8" s="1"/>
  <c r="E25" i="8"/>
  <c r="H25" i="8" s="1"/>
  <c r="E26" i="8"/>
  <c r="H26" i="8" s="1"/>
  <c r="E27" i="8"/>
  <c r="H27" i="8" s="1"/>
  <c r="E28" i="8"/>
  <c r="H28" i="8" s="1"/>
  <c r="E29" i="8"/>
  <c r="H29" i="8" s="1"/>
  <c r="E30" i="8"/>
  <c r="H30" i="8" s="1"/>
  <c r="E31" i="8"/>
  <c r="H31" i="8" s="1"/>
  <c r="E32" i="8"/>
  <c r="H32" i="8" s="1"/>
  <c r="E33" i="8"/>
  <c r="H33" i="8" s="1"/>
  <c r="E34" i="8"/>
  <c r="H34" i="8" s="1"/>
  <c r="E35" i="8"/>
  <c r="H35" i="8" s="1"/>
  <c r="E36" i="8"/>
  <c r="H36" i="8" s="1"/>
  <c r="E37" i="8"/>
  <c r="H37" i="8" s="1"/>
  <c r="E38" i="8"/>
  <c r="H38" i="8" s="1"/>
  <c r="E39" i="8"/>
  <c r="H39" i="8" s="1"/>
  <c r="E40" i="8"/>
  <c r="H40" i="8" s="1"/>
  <c r="E41" i="8"/>
  <c r="H41" i="8" s="1"/>
  <c r="E42" i="8"/>
  <c r="H42" i="8" s="1"/>
  <c r="E43" i="8"/>
  <c r="H43" i="8" s="1"/>
  <c r="E44" i="8"/>
  <c r="H44" i="8" s="1"/>
  <c r="E45" i="8"/>
  <c r="H45" i="8" s="1"/>
  <c r="E46" i="8"/>
  <c r="H46" i="8" s="1"/>
  <c r="E47" i="8"/>
  <c r="H47" i="8" s="1"/>
  <c r="E48" i="8"/>
  <c r="H48" i="8" s="1"/>
  <c r="E49" i="8"/>
  <c r="H49" i="8" s="1"/>
  <c r="E51" i="8"/>
  <c r="H51" i="8" s="1"/>
  <c r="E52" i="8"/>
  <c r="H52" i="8" s="1"/>
  <c r="E53" i="8"/>
  <c r="H53" i="8" s="1"/>
  <c r="E54" i="8"/>
  <c r="H54" i="8" s="1"/>
  <c r="E55" i="8"/>
  <c r="H55" i="8" s="1"/>
  <c r="E56" i="8"/>
  <c r="H56" i="8" s="1"/>
  <c r="E57" i="8"/>
  <c r="H57" i="8" s="1"/>
  <c r="E58" i="8"/>
  <c r="H58" i="8" s="1"/>
  <c r="E59" i="8"/>
  <c r="H59" i="8" s="1"/>
  <c r="E60" i="8"/>
  <c r="H60" i="8" s="1"/>
  <c r="E61" i="8"/>
  <c r="H61" i="8" s="1"/>
  <c r="E62" i="8"/>
  <c r="H62" i="8" s="1"/>
  <c r="E4" i="8"/>
  <c r="H4" i="8" s="1"/>
  <c r="H63" i="8" s="1"/>
  <c r="K10" i="8" s="1"/>
  <c r="K8" i="8" s="1"/>
  <c r="E50" i="8"/>
  <c r="H50" i="8" s="1"/>
  <c r="E19" i="8"/>
  <c r="H19" i="8" s="1"/>
  <c r="F7" i="8" l="1"/>
  <c r="G7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5" i="8"/>
  <c r="G5" i="8"/>
  <c r="F6" i="8"/>
  <c r="G6" i="8"/>
  <c r="F8" i="8"/>
  <c r="G8" i="8"/>
  <c r="F34" i="8"/>
  <c r="G34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4" i="8"/>
  <c r="G4" i="8"/>
  <c r="G63" i="8" s="1"/>
  <c r="K9" i="8" s="1"/>
  <c r="K7" i="8" s="1"/>
  <c r="F63" i="8" l="1"/>
  <c r="K18" i="8" l="1"/>
  <c r="K17" i="8" s="1"/>
  <c r="K19" i="8" s="1"/>
  <c r="K11" i="8"/>
  <c r="K13" i="8" s="1"/>
  <c r="K15" i="8" s="1"/>
</calcChain>
</file>

<file path=xl/sharedStrings.xml><?xml version="1.0" encoding="utf-8"?>
<sst xmlns="http://schemas.openxmlformats.org/spreadsheetml/2006/main" count="600" uniqueCount="105">
  <si>
    <t>Carrera</t>
  </si>
  <si>
    <t xml:space="preserve">  Semestre académico actual  </t>
  </si>
  <si>
    <t>Edad:</t>
  </si>
  <si>
    <t xml:space="preserve">  Género  </t>
  </si>
  <si>
    <t xml:space="preserve">Horas promedio de sueño al día </t>
  </si>
  <si>
    <t xml:space="preserve">Horas promedio al día de uso del celular  </t>
  </si>
  <si>
    <t xml:space="preserve">¿Para qué usas la mayor parte del tiempo el celular?  </t>
  </si>
  <si>
    <t>¿Haces actividad física?</t>
  </si>
  <si>
    <t xml:space="preserve">¿Cuántas horas al día dedicas a estudiar o trabajar?  </t>
  </si>
  <si>
    <t xml:space="preserve">Nivel de satisfacción contigo mismo/a y con tu vida  </t>
  </si>
  <si>
    <t>¿Cómo calificas tu nivel de estrés?</t>
  </si>
  <si>
    <t xml:space="preserve">¿Sientes que el uso del celular afecta tu sueño?  </t>
  </si>
  <si>
    <t>Ingeniería Informática</t>
  </si>
  <si>
    <t>19-21</t>
  </si>
  <si>
    <t>Femenino</t>
  </si>
  <si>
    <t>5 a 6</t>
  </si>
  <si>
    <t>5 a 7</t>
  </si>
  <si>
    <t>Comunicación (WhatsApp, Telegram)</t>
  </si>
  <si>
    <t>1-2 veces por semana</t>
  </si>
  <si>
    <t>Medio</t>
  </si>
  <si>
    <t>A veces</t>
  </si>
  <si>
    <t>Ingeniería Industrial</t>
  </si>
  <si>
    <t>22-24</t>
  </si>
  <si>
    <t>Masculino</t>
  </si>
  <si>
    <t>7 a 8</t>
  </si>
  <si>
    <t>2 a 4</t>
  </si>
  <si>
    <t>Herramientas de aprendizaje</t>
  </si>
  <si>
    <t>3-4 veces por semana</t>
  </si>
  <si>
    <t>Bajo</t>
  </si>
  <si>
    <t>Casi nunca</t>
  </si>
  <si>
    <t>Psicología</t>
  </si>
  <si>
    <t>16-18</t>
  </si>
  <si>
    <t>8 a 10</t>
  </si>
  <si>
    <t>Consumir contenido corto (TikTok, reels, X)</t>
  </si>
  <si>
    <t>Alto</t>
  </si>
  <si>
    <t>Casi siempre</t>
  </si>
  <si>
    <t>Ingeniería de Sistemas</t>
  </si>
  <si>
    <t>Juegos móviles</t>
  </si>
  <si>
    <t>Administración de Empresas</t>
  </si>
  <si>
    <t>Derecho</t>
  </si>
  <si>
    <t>25 o más</t>
  </si>
  <si>
    <t>Consumir contenido largo (YouTube, Substack)</t>
  </si>
  <si>
    <t>Contaduría Pública</t>
  </si>
  <si>
    <t>5 o más veces por semana</t>
  </si>
  <si>
    <t>Nunca</t>
  </si>
  <si>
    <t>Tecnología en Desarrollo de Sistemas de Información</t>
  </si>
  <si>
    <t>Menos de 5</t>
  </si>
  <si>
    <t>Más de 10</t>
  </si>
  <si>
    <t>Muy alto</t>
  </si>
  <si>
    <t>Siempre</t>
  </si>
  <si>
    <t>Administración de Negocios Internacionales</t>
  </si>
  <si>
    <t>Publicar en redes</t>
  </si>
  <si>
    <t>Ingeniería Electrónica</t>
  </si>
  <si>
    <t>Tecnología en Gestión de Redes</t>
  </si>
  <si>
    <t>9 o más</t>
  </si>
  <si>
    <t>3-4</t>
  </si>
  <si>
    <t>5-6</t>
  </si>
  <si>
    <t>7-8</t>
  </si>
  <si>
    <t>1-2</t>
  </si>
  <si>
    <t>Otra</t>
  </si>
  <si>
    <t>Total general</t>
  </si>
  <si>
    <t xml:space="preserve"> Horas promedio al día de uso del celular  </t>
  </si>
  <si>
    <t>f</t>
  </si>
  <si>
    <t>F</t>
  </si>
  <si>
    <t>h (%)</t>
  </si>
  <si>
    <t>H (%)</t>
  </si>
  <si>
    <t>Horas promedio de sueño al dia</t>
  </si>
  <si>
    <t>Horas promedio de uso de celular</t>
  </si>
  <si>
    <t>-</t>
  </si>
  <si>
    <t>Tablas de frecuencia de Variables</t>
  </si>
  <si>
    <t>1. Horas promedio de uso de celular (X)</t>
  </si>
  <si>
    <t>Graficas</t>
  </si>
  <si>
    <t>3. Tabla Cruzada de X y Y</t>
  </si>
  <si>
    <t>2. Horas promedio de sueño diario</t>
  </si>
  <si>
    <t>Horas promedio de sueño al día</t>
  </si>
  <si>
    <t>4. Genero y Edad</t>
  </si>
  <si>
    <t>Media (Promedio)</t>
  </si>
  <si>
    <t>Mediana</t>
  </si>
  <si>
    <t>Moda</t>
  </si>
  <si>
    <t>Desviacion Estandar</t>
  </si>
  <si>
    <t>Minimo</t>
  </si>
  <si>
    <t>Maximo</t>
  </si>
  <si>
    <t>Uso del celular en horas (X)</t>
  </si>
  <si>
    <t>Horas promedio de sueño (Y)</t>
  </si>
  <si>
    <t>h(%)</t>
  </si>
  <si>
    <t>Genero &amp; Edad</t>
  </si>
  <si>
    <t>Regresion y Correlacion</t>
  </si>
  <si>
    <t>Estudiante</t>
  </si>
  <si>
    <t>Horas promedio de sueño al día (Y)</t>
  </si>
  <si>
    <t>Total</t>
  </si>
  <si>
    <t>Horas promedio al día de uso del celular (X)</t>
  </si>
  <si>
    <t>Producto</t>
  </si>
  <si>
    <t>Covarianza Muestral</t>
  </si>
  <si>
    <t>Coeficiente de Correlacion</t>
  </si>
  <si>
    <t>Coeficiente de Determinacion</t>
  </si>
  <si>
    <t>Valor de X</t>
  </si>
  <si>
    <t>Coeficiente de Variacion X</t>
  </si>
  <si>
    <t>Coeficiente de Variacion Y</t>
  </si>
  <si>
    <t>Sientes que el celular afecta tu sueño?</t>
  </si>
  <si>
    <t/>
  </si>
  <si>
    <t>6. Nivel de estrés</t>
  </si>
  <si>
    <t>7. Tabla de Medidas de Resumen Estadisticas</t>
  </si>
  <si>
    <t>8. Percepcion del sueño y uso de celular (Para conclusiones)</t>
  </si>
  <si>
    <t>5. Genero y uso promedio del celular</t>
  </si>
  <si>
    <t>Genero y uso del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</si>
</sst>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theme="9" tint="-0.499984740745262"/>
      <name val="Arial"/>
      <family val="2"/>
      <scheme val="minor"/>
    </font>
    <font>
      <sz val="10"/>
      <color theme="9" tint="-0.499984740745262"/>
      <name val="Arial"/>
      <family val="2"/>
      <scheme val="minor"/>
    </font>
    <font>
      <b/>
      <sz val="10"/>
      <color theme="9" tint="-0.499984740745262"/>
      <name val="Arial"/>
      <family val="2"/>
      <scheme val="minor"/>
    </font>
    <font>
      <b/>
      <i/>
      <sz val="14"/>
      <color theme="8" tint="-0.499984740745262"/>
      <name val="Arial"/>
      <family val="2"/>
      <scheme val="minor"/>
    </font>
    <font>
      <b/>
      <i/>
      <sz val="14"/>
      <color theme="7" tint="-0.499984740745262"/>
      <name val="Arial"/>
      <family val="2"/>
      <scheme val="minor"/>
    </font>
    <font>
      <sz val="10"/>
      <color theme="8" tint="-0.499984740745262"/>
      <name val="Arial"/>
      <family val="2"/>
      <scheme val="minor"/>
    </font>
    <font>
      <b/>
      <i/>
      <sz val="10"/>
      <color theme="8" tint="-0.499984740745262"/>
      <name val="Arial"/>
      <family val="2"/>
      <scheme val="minor"/>
    </font>
    <font>
      <b/>
      <i/>
      <sz val="11"/>
      <color theme="7" tint="-0.499984740745262"/>
      <name val="Arial"/>
      <family val="2"/>
      <scheme val="minor"/>
    </font>
    <font>
      <b/>
      <i/>
      <sz val="11"/>
      <color rgb="FF000000"/>
      <name val="Arial"/>
      <family val="2"/>
      <scheme val="minor"/>
    </font>
    <font>
      <b/>
      <i/>
      <sz val="14"/>
      <color theme="9" tint="-0.499984740745262"/>
      <name val="Arial"/>
      <family val="2"/>
      <scheme val="minor"/>
    </font>
    <font>
      <b/>
      <sz val="12"/>
      <color theme="8" tint="-0.499984740745262"/>
      <name val="Arial"/>
      <family val="2"/>
      <scheme val="minor"/>
    </font>
    <font>
      <b/>
      <i/>
      <sz val="12"/>
      <color theme="8" tint="-0.499984740745262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sz val="11"/>
      <color theme="8" tint="-0.499984740745262"/>
      <name val="Arial"/>
      <family val="2"/>
      <scheme val="minor"/>
    </font>
    <font>
      <i/>
      <sz val="10"/>
      <color theme="9" tint="-0.499984740745262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5B3F8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5B3F86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F8F9FA"/>
      </patternFill>
    </fill>
  </fills>
  <borders count="3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rgb="FF9999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5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indexed="65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indexed="65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/>
      <right style="thin">
        <color theme="9" tint="-0.499984740745262"/>
      </right>
      <top/>
      <bottom/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8" tint="-0.499984740745262"/>
      </right>
      <top/>
      <bottom/>
      <diagonal/>
    </border>
    <border>
      <left/>
      <right style="thin">
        <color theme="8" tint="-0.499984740745262"/>
      </right>
      <top style="thin">
        <color theme="8" tint="-0.499984740745262"/>
      </top>
      <bottom/>
      <diagonal/>
    </border>
    <border>
      <left/>
      <right/>
      <top style="thin">
        <color indexed="65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 vertical="center"/>
    </xf>
    <xf numFmtId="10" fontId="0" fillId="4" borderId="6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/>
    <xf numFmtId="164" fontId="1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0" fontId="0" fillId="4" borderId="5" xfId="0" applyNumberFormat="1" applyFill="1" applyBorder="1" applyAlignment="1">
      <alignment horizontal="center" vertical="center"/>
    </xf>
    <xf numFmtId="10" fontId="0" fillId="4" borderId="10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0" fontId="4" fillId="0" borderId="14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9" fontId="4" fillId="4" borderId="14" xfId="1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10" fontId="4" fillId="0" borderId="15" xfId="0" applyNumberFormat="1" applyFont="1" applyBorder="1" applyAlignment="1">
      <alignment horizontal="center"/>
    </xf>
    <xf numFmtId="10" fontId="4" fillId="0" borderId="17" xfId="0" applyNumberFormat="1" applyFont="1" applyBorder="1" applyAlignment="1">
      <alignment horizontal="center"/>
    </xf>
    <xf numFmtId="10" fontId="4" fillId="0" borderId="16" xfId="0" applyNumberFormat="1" applyFont="1" applyBorder="1" applyAlignment="1">
      <alignment horizontal="center"/>
    </xf>
    <xf numFmtId="9" fontId="4" fillId="0" borderId="11" xfId="0" applyNumberFormat="1" applyFont="1" applyBorder="1" applyAlignment="1">
      <alignment horizontal="center"/>
    </xf>
    <xf numFmtId="10" fontId="4" fillId="0" borderId="14" xfId="0" applyNumberFormat="1" applyFont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10" fontId="4" fillId="4" borderId="14" xfId="0" applyNumberFormat="1" applyFont="1" applyFill="1" applyBorder="1" applyAlignment="1">
      <alignment horizontal="center" vertical="center"/>
    </xf>
    <xf numFmtId="10" fontId="4" fillId="0" borderId="15" xfId="0" applyNumberFormat="1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0" fontId="4" fillId="4" borderId="18" xfId="0" applyNumberFormat="1" applyFont="1" applyFill="1" applyBorder="1" applyAlignment="1">
      <alignment horizontal="center" vertical="center"/>
    </xf>
    <xf numFmtId="10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0" fontId="4" fillId="0" borderId="17" xfId="0" applyNumberFormat="1" applyFont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10" fontId="4" fillId="0" borderId="12" xfId="0" applyNumberFormat="1" applyFont="1" applyBorder="1" applyAlignment="1">
      <alignment horizontal="center" vertical="center"/>
    </xf>
    <xf numFmtId="0" fontId="4" fillId="0" borderId="0" xfId="0" applyFont="1"/>
    <xf numFmtId="164" fontId="4" fillId="4" borderId="14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164" fontId="8" fillId="11" borderId="24" xfId="0" applyNumberFormat="1" applyFont="1" applyFill="1" applyBorder="1" applyAlignment="1">
      <alignment horizontal="center" vertical="center"/>
    </xf>
    <xf numFmtId="0" fontId="8" fillId="11" borderId="24" xfId="0" applyFont="1" applyFill="1" applyBorder="1" applyAlignment="1">
      <alignment horizontal="center" vertical="center"/>
    </xf>
    <xf numFmtId="0" fontId="8" fillId="12" borderId="24" xfId="0" applyFont="1" applyFill="1" applyBorder="1" applyAlignment="1">
      <alignment horizontal="center" vertical="center"/>
    </xf>
    <xf numFmtId="0" fontId="8" fillId="9" borderId="24" xfId="0" applyFont="1" applyFill="1" applyBorder="1"/>
    <xf numFmtId="164" fontId="8" fillId="6" borderId="24" xfId="0" applyNumberFormat="1" applyFont="1" applyFill="1" applyBorder="1" applyAlignment="1">
      <alignment horizontal="center" vertical="center"/>
    </xf>
    <xf numFmtId="0" fontId="8" fillId="6" borderId="24" xfId="0" applyFont="1" applyFill="1" applyBorder="1" applyAlignment="1">
      <alignment horizontal="center" vertical="center"/>
    </xf>
    <xf numFmtId="2" fontId="8" fillId="6" borderId="24" xfId="0" applyNumberFormat="1" applyFont="1" applyFill="1" applyBorder="1" applyAlignment="1">
      <alignment horizontal="center" vertical="center"/>
    </xf>
    <xf numFmtId="0" fontId="8" fillId="9" borderId="24" xfId="0" applyFont="1" applyFill="1" applyBorder="1" applyAlignment="1">
      <alignment vertical="top"/>
    </xf>
    <xf numFmtId="164" fontId="0" fillId="0" borderId="0" xfId="0" applyNumberFormat="1"/>
    <xf numFmtId="2" fontId="8" fillId="6" borderId="27" xfId="0" applyNumberFormat="1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164" fontId="4" fillId="4" borderId="23" xfId="0" applyNumberFormat="1" applyFont="1" applyFill="1" applyBorder="1" applyAlignment="1">
      <alignment horizontal="center" vertical="center"/>
    </xf>
    <xf numFmtId="164" fontId="4" fillId="4" borderId="20" xfId="0" applyNumberFormat="1" applyFont="1" applyFill="1" applyBorder="1" applyAlignment="1">
      <alignment horizontal="center" vertical="center"/>
    </xf>
    <xf numFmtId="0" fontId="8" fillId="9" borderId="27" xfId="0" applyFont="1" applyFill="1" applyBorder="1"/>
    <xf numFmtId="165" fontId="8" fillId="6" borderId="24" xfId="1" applyNumberFormat="1" applyFont="1" applyFill="1" applyBorder="1" applyAlignment="1">
      <alignment horizontal="center" vertical="center"/>
    </xf>
    <xf numFmtId="9" fontId="8" fillId="6" borderId="24" xfId="1" applyFont="1" applyFill="1" applyBorder="1" applyAlignment="1">
      <alignment horizontal="center" vertical="center"/>
    </xf>
    <xf numFmtId="164" fontId="4" fillId="4" borderId="29" xfId="0" applyNumberFormat="1" applyFont="1" applyFill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4" borderId="20" xfId="0" applyNumberFormat="1" applyFont="1" applyFill="1" applyBorder="1" applyAlignment="1">
      <alignment horizontal="center" vertical="center"/>
    </xf>
    <xf numFmtId="10" fontId="4" fillId="0" borderId="31" xfId="0" applyNumberFormat="1" applyFont="1" applyBorder="1" applyAlignment="1">
      <alignment horizontal="center" vertical="center"/>
    </xf>
    <xf numFmtId="10" fontId="4" fillId="4" borderId="21" xfId="0" applyNumberFormat="1" applyFont="1" applyFill="1" applyBorder="1" applyAlignment="1">
      <alignment horizontal="center" vertical="center"/>
    </xf>
    <xf numFmtId="10" fontId="4" fillId="0" borderId="16" xfId="0" applyNumberFormat="1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2" fontId="8" fillId="6" borderId="27" xfId="0" applyNumberFormat="1" applyFont="1" applyFill="1" applyBorder="1" applyAlignment="1">
      <alignment horizontal="center" vertical="center"/>
    </xf>
    <xf numFmtId="2" fontId="8" fillId="6" borderId="28" xfId="0" applyNumberFormat="1" applyFont="1" applyFill="1" applyBorder="1" applyAlignment="1">
      <alignment horizontal="center" vertical="center"/>
    </xf>
    <xf numFmtId="2" fontId="8" fillId="6" borderId="24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vertical="top"/>
    </xf>
    <xf numFmtId="0" fontId="4" fillId="5" borderId="18" xfId="0" applyFont="1" applyFill="1" applyBorder="1" applyAlignment="1">
      <alignment horizontal="center"/>
    </xf>
    <xf numFmtId="0" fontId="0" fillId="0" borderId="0" xfId="0" pivotButton="1" applyBorder="1"/>
    <xf numFmtId="0" fontId="14" fillId="9" borderId="24" xfId="0" applyFont="1" applyFill="1" applyBorder="1" applyAlignment="1">
      <alignment horizontal="center" vertical="center"/>
    </xf>
    <xf numFmtId="0" fontId="14" fillId="10" borderId="24" xfId="0" applyFont="1" applyFill="1" applyBorder="1" applyAlignment="1">
      <alignment horizontal="center" vertical="center"/>
    </xf>
    <xf numFmtId="0" fontId="14" fillId="9" borderId="24" xfId="0" applyFont="1" applyFill="1" applyBorder="1"/>
    <xf numFmtId="0" fontId="15" fillId="0" borderId="0" xfId="0" applyFont="1"/>
    <xf numFmtId="0" fontId="9" fillId="9" borderId="24" xfId="0" applyFont="1" applyFill="1" applyBorder="1" applyAlignment="1">
      <alignment horizontal="center" vertical="center"/>
    </xf>
    <xf numFmtId="0" fontId="14" fillId="9" borderId="24" xfId="0" applyFont="1" applyFill="1" applyBorder="1" applyAlignment="1">
      <alignment horizontal="center" vertical="top"/>
    </xf>
    <xf numFmtId="0" fontId="13" fillId="9" borderId="25" xfId="0" applyFont="1" applyFill="1" applyBorder="1" applyAlignment="1">
      <alignment horizontal="center" vertical="top"/>
    </xf>
    <xf numFmtId="0" fontId="13" fillId="9" borderId="26" xfId="0" applyFont="1" applyFill="1" applyBorder="1" applyAlignment="1">
      <alignment horizontal="center" vertical="top"/>
    </xf>
    <xf numFmtId="0" fontId="16" fillId="9" borderId="24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5" borderId="1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/>
    </xf>
    <xf numFmtId="0" fontId="17" fillId="5" borderId="14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0" fontId="3" fillId="5" borderId="32" xfId="0" applyFont="1" applyFill="1" applyBorder="1"/>
    <xf numFmtId="0" fontId="4" fillId="0" borderId="0" xfId="0" applyFont="1" applyBorder="1"/>
    <xf numFmtId="0" fontId="5" fillId="5" borderId="3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4" fillId="0" borderId="14" xfId="0" applyNumberFormat="1" applyFont="1" applyBorder="1" applyAlignment="1">
      <alignment horizontal="center"/>
    </xf>
    <xf numFmtId="10" fontId="4" fillId="0" borderId="33" xfId="0" applyNumberFormat="1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10" fontId="4" fillId="4" borderId="11" xfId="0" applyNumberFormat="1" applyFont="1" applyFill="1" applyBorder="1" applyAlignment="1">
      <alignment horizontal="center"/>
    </xf>
    <xf numFmtId="0" fontId="2" fillId="0" borderId="0" xfId="0" applyFont="1" applyBorder="1"/>
    <xf numFmtId="0" fontId="4" fillId="0" borderId="20" xfId="0" applyNumberFormat="1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 vertical="top"/>
    </xf>
    <xf numFmtId="0" fontId="4" fillId="5" borderId="22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363">
    <dxf>
      <alignment horizontal="center" indent="0"/>
    </dxf>
    <dxf>
      <alignment horizontal="center" indent="0"/>
    </dxf>
    <dxf>
      <alignment horizontal="center" indent="0"/>
    </dxf>
    <dxf>
      <border>
        <left/>
        <right/>
        <top/>
        <bottom/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vertical style="thin">
          <color theme="9" tint="-0.499984740745262"/>
        </vertical>
        <horizontal style="thin">
          <color theme="9" tint="-0.499984740745262"/>
        </horizontal>
      </border>
    </dxf>
    <dxf>
      <border>
        <left style="thin">
          <color theme="9" tint="-0.499984740745262"/>
        </left>
        <top style="thin">
          <color theme="9" tint="-0.499984740745262"/>
        </top>
        <vertical style="thin">
          <color theme="9" tint="-0.499984740745262"/>
        </vertical>
        <horizontal style="thin">
          <color theme="9" tint="-0.499984740745262"/>
        </horizontal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 style="thin">
          <color theme="9" tint="-0.499984740745262"/>
        </horizontal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left style="thin">
          <color theme="9" tint="-0.499984740745262"/>
        </left>
        <right style="thin">
          <color theme="9" tint="-0.499984740745262"/>
        </right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alignment horizontal="center"/>
    </dxf>
    <dxf>
      <alignment horizontal="center"/>
    </dxf>
    <dxf>
      <alignment vertic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ill>
        <patternFill>
          <bgColor theme="0"/>
        </patternFill>
      </fill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alignment horizontal="center"/>
    </dxf>
    <dxf>
      <font>
        <b/>
      </font>
    </dxf>
    <dxf>
      <font>
        <i/>
      </font>
    </dxf>
    <dxf>
      <font>
        <b/>
      </font>
    </dxf>
    <dxf>
      <font>
        <i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border>
        <left style="thin">
          <color theme="9" tint="-0.499984740745262"/>
        </left>
      </border>
    </dxf>
    <dxf>
      <border>
        <left style="thin">
          <color theme="9" tint="-0.499984740745262"/>
        </left>
      </border>
    </dxf>
    <dxf>
      <border>
        <left style="thin">
          <color theme="9" tint="-0.499984740745262"/>
        </lef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top style="thin">
          <color theme="9" tint="-0.499984740745262"/>
        </top>
        <bottom style="thin">
          <color theme="9" tint="-0.499984740745262"/>
        </bottom>
      </border>
    </dxf>
    <dxf>
      <border>
        <left/>
        <right/>
        <bottom/>
      </border>
    </dxf>
    <dxf>
      <border>
        <left/>
        <right/>
        <top/>
        <bottom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 val="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theme="9" tint="-0.499984740745262"/>
        </left>
      </border>
    </dxf>
    <dxf>
      <border>
        <left style="thin">
          <color theme="9" tint="-0.499984740745262"/>
        </left>
      </border>
    </dxf>
    <dxf>
      <border>
        <top style="thin">
          <color theme="9" tint="-0.499984740745262"/>
        </top>
      </border>
    </dxf>
    <dxf>
      <border>
        <left/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Arial"/>
        <family val="2"/>
        <scheme val="minor"/>
      </font>
      <fill>
        <patternFill patternType="solid">
          <fgColor rgb="FF5B3F86"/>
          <bgColor theme="7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FFFFFF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theme="9" tint="-0.499984740745262"/>
      </font>
    </dxf>
    <dxf>
      <border>
        <left style="thin">
          <color theme="9" tint="-0.499984740745262"/>
        </left>
        <right style="thin">
          <color theme="9" tint="-0.499984740745262"/>
        </right>
      </border>
    </dxf>
    <dxf>
      <border>
        <left style="thin">
          <color theme="9" tint="-0.499984740745262"/>
        </left>
        <right style="thin">
          <color theme="9" tint="-0.499984740745262"/>
        </right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numFmt numFmtId="14" formatCode="0.00%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theme="9" tint="-0.499984740745262"/>
      </font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bottom style="thin">
          <color theme="9" tint="-0.499984740745262"/>
        </bottom>
      </border>
    </dxf>
    <dxf>
      <border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numFmt numFmtId="14" formatCode="0.00%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theme="9" tint="-0.499984740745262"/>
      </font>
    </dxf>
    <dxf>
      <font>
        <color theme="9" tint="-0.499984740745262"/>
      </font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border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theme="9" tint="-0.499984740745262"/>
      </font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</border>
    </dxf>
    <dxf>
      <border>
        <top style="thin">
          <color theme="9" tint="-0.499984740745262"/>
        </top>
      </border>
    </dxf>
    <dxf>
      <border>
        <top style="thin">
          <color theme="9" tint="-0.499984740745262"/>
        </top>
      </border>
    </dxf>
    <dxf>
      <border>
        <bottom style="thin">
          <color theme="9" tint="-0.499984740745262"/>
        </bottom>
      </border>
    </dxf>
    <dxf>
      <border>
        <bottom style="thin">
          <color theme="9" tint="-0.499984740745262"/>
        </bottom>
      </border>
    </dxf>
    <dxf>
      <border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border>
        <bottom style="thin">
          <color theme="9" tint="-0.499984740745262"/>
        </bottom>
      </border>
    </dxf>
    <dxf>
      <border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>
        <left style="thin">
          <color theme="9" tint="-0.499984740745262"/>
        </lef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alignment horizontal="center"/>
    </dxf>
    <dxf>
      <alignment vertic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theme="9" tint="-0.499984740745262"/>
      </font>
    </dxf>
    <dxf>
      <font>
        <color theme="9" tint="-0.499984740745262"/>
      </font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font>
        <color theme="9" tint="-0.499984740745262"/>
      </font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62"/>
      <tableStyleElement type="headerRow" dxfId="361"/>
      <tableStyleElement type="firstRowStripe" dxfId="360"/>
      <tableStyleElement type="secondRowStripe" dxfId="3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1"/>
              <a:t>1. Horas promedio al dia de uso del celular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Analisis descriptivo'!$H$5</c:f>
              <c:strCache>
                <c:ptCount val="1"/>
                <c:pt idx="0">
                  <c:v>f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'2. Analisis descriptivo'!$G$6:$G$9</c:f>
              <c:strCache>
                <c:ptCount val="4"/>
                <c:pt idx="0">
                  <c:v>2 a 4</c:v>
                </c:pt>
                <c:pt idx="1">
                  <c:v>5 a 7</c:v>
                </c:pt>
                <c:pt idx="2">
                  <c:v>8 a 10</c:v>
                </c:pt>
                <c:pt idx="3">
                  <c:v>Más de 10</c:v>
                </c:pt>
              </c:strCache>
            </c:strRef>
          </c:cat>
          <c:val>
            <c:numRef>
              <c:f>'2. Analisis descriptivo'!$H$6:$H$9</c:f>
              <c:numCache>
                <c:formatCode>General</c:formatCode>
                <c:ptCount val="4"/>
                <c:pt idx="0">
                  <c:v>15</c:v>
                </c:pt>
                <c:pt idx="1">
                  <c:v>26</c:v>
                </c:pt>
                <c:pt idx="2">
                  <c:v>12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1-4254-B17E-2878F8F2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5967343"/>
        <c:axId val="1889730575"/>
      </c:barChart>
      <c:catAx>
        <c:axId val="1985967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uso</a:t>
                </a:r>
                <a:r>
                  <a:rPr lang="es-CO" baseline="0"/>
                  <a:t> del celular (en horas)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34404431782043621"/>
              <c:y val="0.91516537747957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9730575"/>
        <c:crosses val="autoZero"/>
        <c:auto val="1"/>
        <c:lblAlgn val="ctr"/>
        <c:lblOffset val="100"/>
        <c:noMultiLvlLbl val="0"/>
      </c:catAx>
      <c:valAx>
        <c:axId val="188973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ln>
                      <a:noFill/>
                    </a:ln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ln>
                      <a:noFill/>
                    </a:ln>
                  </a:rPr>
                  <a:t>Cantidad</a:t>
                </a:r>
                <a:r>
                  <a:rPr lang="es-CO" baseline="0">
                    <a:ln>
                      <a:noFill/>
                    </a:ln>
                  </a:rPr>
                  <a:t> de estudiantes</a:t>
                </a:r>
                <a:endParaRPr lang="es-CO">
                  <a:ln>
                    <a:noFill/>
                  </a:ln>
                </a:endParaRPr>
              </a:p>
            </c:rich>
          </c:tx>
          <c:layout>
            <c:manualLayout>
              <c:xMode val="edge"/>
              <c:yMode val="edge"/>
              <c:x val="1.9417331530076989E-2"/>
              <c:y val="0.19540498982911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ln>
                    <a:noFill/>
                  </a:ln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596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300" b="1" i="1"/>
              <a:t>2. Horas promedio de sueño al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'2. Analisis descriptivo'!$H$31</c:f>
              <c:strCache>
                <c:ptCount val="1"/>
                <c:pt idx="0">
                  <c:v>f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'2. Analisis descriptivo'!$G$32:$G$34</c:f>
              <c:strCache>
                <c:ptCount val="3"/>
                <c:pt idx="0">
                  <c:v>5 a 6</c:v>
                </c:pt>
                <c:pt idx="1">
                  <c:v>7 a 8</c:v>
                </c:pt>
                <c:pt idx="2">
                  <c:v>Menos de 5</c:v>
                </c:pt>
              </c:strCache>
            </c:strRef>
          </c:cat>
          <c:val>
            <c:numRef>
              <c:f>'2. Analisis descriptivo'!$H$32:$H$34</c:f>
              <c:numCache>
                <c:formatCode>General</c:formatCode>
                <c:ptCount val="3"/>
                <c:pt idx="0">
                  <c:v>23</c:v>
                </c:pt>
                <c:pt idx="1">
                  <c:v>28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2-4C54-93BD-6B5CC5ADE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7647631"/>
        <c:axId val="1889737775"/>
      </c:barChart>
      <c:catAx>
        <c:axId val="257647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sueño</a:t>
                </a:r>
                <a:r>
                  <a:rPr lang="es-CO" baseline="0"/>
                  <a:t> diario (en horas)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36342171171685"/>
              <c:y val="0.91457614389254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9737775"/>
        <c:crosses val="autoZero"/>
        <c:auto val="1"/>
        <c:lblAlgn val="ctr"/>
        <c:lblOffset val="100"/>
        <c:noMultiLvlLbl val="0"/>
      </c:catAx>
      <c:valAx>
        <c:axId val="188973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cap="all" baseline="0">
                    <a:ln>
                      <a:noFill/>
                    </a:ln>
                    <a:solidFill>
                      <a:srgbClr val="000000">
                        <a:lumMod val="50000"/>
                        <a:lumOff val="50000"/>
                      </a:srgbClr>
                    </a:solidFill>
                  </a:rPr>
                  <a:t>Cantidad de estudiantes</a:t>
                </a:r>
              </a:p>
            </c:rich>
          </c:tx>
          <c:layout>
            <c:manualLayout>
              <c:xMode val="edge"/>
              <c:yMode val="edge"/>
              <c:x val="1.9426942350056892E-2"/>
              <c:y val="0.19328937234769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764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Calidad de Vida (respuestas).xlsx]2. Analisis descriptivo!TablaDinámica2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1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300" b="1" i="1"/>
              <a:t>3. Uso de celular vs Sueño promedio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1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Analisis descriptivo'!$B$22:$B$23</c:f>
              <c:strCache>
                <c:ptCount val="1"/>
                <c:pt idx="0">
                  <c:v>5 a 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 Analisis descriptivo'!$A$24:$A$28</c:f>
              <c:strCache>
                <c:ptCount val="4"/>
                <c:pt idx="0">
                  <c:v>2 a 4</c:v>
                </c:pt>
                <c:pt idx="1">
                  <c:v>5 a 7</c:v>
                </c:pt>
                <c:pt idx="2">
                  <c:v>8 a 10</c:v>
                </c:pt>
                <c:pt idx="3">
                  <c:v>Más de 10</c:v>
                </c:pt>
              </c:strCache>
            </c:strRef>
          </c:cat>
          <c:val>
            <c:numRef>
              <c:f>'2. Analisis descriptivo'!$B$24:$B$28</c:f>
              <c:numCache>
                <c:formatCode>General</c:formatCode>
                <c:ptCount val="4"/>
                <c:pt idx="0">
                  <c:v>1</c:v>
                </c:pt>
                <c:pt idx="1">
                  <c:v>11</c:v>
                </c:pt>
                <c:pt idx="2">
                  <c:v>10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E-45EF-B91D-1A2B7EF62E1C}"/>
            </c:ext>
          </c:extLst>
        </c:ser>
        <c:ser>
          <c:idx val="1"/>
          <c:order val="1"/>
          <c:tx>
            <c:strRef>
              <c:f>'2. Analisis descriptivo'!$C$22:$C$23</c:f>
              <c:strCache>
                <c:ptCount val="1"/>
                <c:pt idx="0">
                  <c:v>7 a 8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 Analisis descriptivo'!$A$24:$A$28</c:f>
              <c:strCache>
                <c:ptCount val="4"/>
                <c:pt idx="0">
                  <c:v>2 a 4</c:v>
                </c:pt>
                <c:pt idx="1">
                  <c:v>5 a 7</c:v>
                </c:pt>
                <c:pt idx="2">
                  <c:v>8 a 10</c:v>
                </c:pt>
                <c:pt idx="3">
                  <c:v>Más de 10</c:v>
                </c:pt>
              </c:strCache>
            </c:strRef>
          </c:cat>
          <c:val>
            <c:numRef>
              <c:f>'2. Analisis descriptivo'!$C$24:$C$28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E-45EF-B91D-1A2B7EF62E1C}"/>
            </c:ext>
          </c:extLst>
        </c:ser>
        <c:ser>
          <c:idx val="2"/>
          <c:order val="2"/>
          <c:tx>
            <c:strRef>
              <c:f>'2. Analisis descriptivo'!$D$22:$D$23</c:f>
              <c:strCache>
                <c:ptCount val="1"/>
                <c:pt idx="0">
                  <c:v>Menos de 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 Analisis descriptivo'!$A$24:$A$28</c:f>
              <c:strCache>
                <c:ptCount val="4"/>
                <c:pt idx="0">
                  <c:v>2 a 4</c:v>
                </c:pt>
                <c:pt idx="1">
                  <c:v>5 a 7</c:v>
                </c:pt>
                <c:pt idx="2">
                  <c:v>8 a 10</c:v>
                </c:pt>
                <c:pt idx="3">
                  <c:v>Más de 10</c:v>
                </c:pt>
              </c:strCache>
            </c:strRef>
          </c:cat>
          <c:val>
            <c:numRef>
              <c:f>'2. Analisis descriptivo'!$D$24:$D$28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E-45EF-B91D-1A2B7EF62E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4128831"/>
        <c:axId val="1889773295"/>
      </c:barChart>
      <c:catAx>
        <c:axId val="264128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cap="all" baseline="0">
                    <a:solidFill>
                      <a:srgbClr val="000000">
                        <a:lumMod val="50000"/>
                        <a:lumOff val="50000"/>
                      </a:srgbClr>
                    </a:solidFill>
                  </a:rPr>
                  <a:t>uso del celular (en horas)</a:t>
                </a:r>
              </a:p>
            </c:rich>
          </c:tx>
          <c:layout>
            <c:manualLayout>
              <c:xMode val="edge"/>
              <c:yMode val="edge"/>
              <c:x val="0.21870106882048415"/>
              <c:y val="0.89452004407296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9773295"/>
        <c:crosses val="autoZero"/>
        <c:auto val="1"/>
        <c:lblAlgn val="ctr"/>
        <c:lblOffset val="100"/>
        <c:noMultiLvlLbl val="0"/>
      </c:catAx>
      <c:valAx>
        <c:axId val="188977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sueño diario (en horas)</a:t>
                </a:r>
              </a:p>
            </c:rich>
          </c:tx>
          <c:layout>
            <c:manualLayout>
              <c:xMode val="edge"/>
              <c:yMode val="edge"/>
              <c:x val="1.2180345066298481E-2"/>
              <c:y val="0.32466473845697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412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1"/>
              <a:t> 6. Nivel</a:t>
            </a:r>
            <a:r>
              <a:rPr lang="en-US" sz="1300" b="1" i="1" baseline="0"/>
              <a:t> de estres (%)</a:t>
            </a:r>
            <a:endParaRPr lang="en-US" sz="1300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'2. Analisis descriptivo'!$L$44</c:f>
              <c:strCache>
                <c:ptCount val="1"/>
                <c:pt idx="0">
                  <c:v>h (%)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2E-49C9-9FA8-F4732D8BBA4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shade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shade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2E-49C9-9FA8-F4732D8BBA4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86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86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86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86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2E-49C9-9FA8-F4732D8BBA4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5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5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5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2E-49C9-9FA8-F4732D8BBA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Analisis descriptivo'!$K$45:$K$48</c:f>
              <c:strCache>
                <c:ptCount val="4"/>
                <c:pt idx="0">
                  <c:v>Muy alto</c:v>
                </c:pt>
                <c:pt idx="1">
                  <c:v>Alto</c:v>
                </c:pt>
                <c:pt idx="2">
                  <c:v>Bajo</c:v>
                </c:pt>
                <c:pt idx="3">
                  <c:v>Medio</c:v>
                </c:pt>
              </c:strCache>
            </c:strRef>
          </c:cat>
          <c:val>
            <c:numRef>
              <c:f>'2. Analisis descriptivo'!$L$45:$L$48</c:f>
              <c:numCache>
                <c:formatCode>0.00%</c:formatCode>
                <c:ptCount val="4"/>
                <c:pt idx="0">
                  <c:v>0.13559322033898305</c:v>
                </c:pt>
                <c:pt idx="1">
                  <c:v>0.2711864406779661</c:v>
                </c:pt>
                <c:pt idx="2">
                  <c:v>0.28813559322033899</c:v>
                </c:pt>
                <c:pt idx="3">
                  <c:v>0.30508474576271188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5-4508-9892-93D16806F7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1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300" b="1" i="1"/>
              <a:t>4. Genero y Edad de la Muestra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1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 Analisis descriptivo'!$K$39</c:f>
              <c:strCache>
                <c:ptCount val="1"/>
                <c:pt idx="0">
                  <c:v>16-18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'2. Analisis descriptivo'!$J$40:$J$41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'2. Analisis descriptivo'!$K$40:$K$41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1-47AE-AD20-5ADB79493684}"/>
            </c:ext>
          </c:extLst>
        </c:ser>
        <c:ser>
          <c:idx val="1"/>
          <c:order val="1"/>
          <c:tx>
            <c:strRef>
              <c:f>'2. Analisis descriptivo'!$L$39</c:f>
              <c:strCache>
                <c:ptCount val="1"/>
                <c:pt idx="0">
                  <c:v>19-21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'2. Analisis descriptivo'!$J$40:$J$41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'2. Analisis descriptivo'!$L$40:$L$41</c:f>
              <c:numCache>
                <c:formatCode>General</c:formatCode>
                <c:ptCount val="2"/>
                <c:pt idx="0">
                  <c:v>10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1-47AE-AD20-5ADB79493684}"/>
            </c:ext>
          </c:extLst>
        </c:ser>
        <c:ser>
          <c:idx val="2"/>
          <c:order val="2"/>
          <c:tx>
            <c:strRef>
              <c:f>'2. Analisis descriptivo'!$M$39</c:f>
              <c:strCache>
                <c:ptCount val="1"/>
                <c:pt idx="0">
                  <c:v>22-24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'2. Analisis descriptivo'!$J$40:$J$41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'2. Analisis descriptivo'!$M$40:$M$41</c:f>
              <c:numCache>
                <c:formatCode>General</c:formatCode>
                <c:ptCount val="2"/>
                <c:pt idx="0">
                  <c:v>15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1-47AE-AD20-5ADB79493684}"/>
            </c:ext>
          </c:extLst>
        </c:ser>
        <c:ser>
          <c:idx val="3"/>
          <c:order val="3"/>
          <c:tx>
            <c:strRef>
              <c:f>'2. Analisis descriptivo'!$N$39</c:f>
              <c:strCache>
                <c:ptCount val="1"/>
                <c:pt idx="0">
                  <c:v>25 o más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'2. Analisis descriptivo'!$J$40:$J$41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'2. Analisis descriptivo'!$N$40:$N$41</c:f>
              <c:numCache>
                <c:formatCode>General</c:formatCode>
                <c:ptCount val="2"/>
                <c:pt idx="0">
                  <c:v>2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81-47AE-AD20-5ADB79493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8820687"/>
        <c:axId val="1889695535"/>
      </c:barChart>
      <c:catAx>
        <c:axId val="25882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Genero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9695535"/>
        <c:crosses val="autoZero"/>
        <c:auto val="1"/>
        <c:lblAlgn val="ctr"/>
        <c:lblOffset val="100"/>
        <c:noMultiLvlLbl val="0"/>
      </c:catAx>
      <c:valAx>
        <c:axId val="18896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cap="all" baseline="0">
                    <a:ln>
                      <a:noFill/>
                    </a:ln>
                    <a:solidFill>
                      <a:srgbClr val="000000">
                        <a:lumMod val="50000"/>
                        <a:lumOff val="50000"/>
                      </a:srgbClr>
                    </a:solidFill>
                  </a:rPr>
                  <a:t>Cantidad de 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882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i="1"/>
              <a:t>5. Genero y uso promedio del celular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'2. Analisis descriptivo'!$J$54</c:f>
              <c:strCache>
                <c:ptCount val="1"/>
                <c:pt idx="0">
                  <c:v>Femenino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'2. Analisis descriptivo'!$K$53:$N$53</c:f>
              <c:strCache>
                <c:ptCount val="4"/>
                <c:pt idx="0">
                  <c:v>2 a 4</c:v>
                </c:pt>
                <c:pt idx="1">
                  <c:v>5 a 7</c:v>
                </c:pt>
                <c:pt idx="2">
                  <c:v>8 a 10</c:v>
                </c:pt>
                <c:pt idx="3">
                  <c:v>Más de 10</c:v>
                </c:pt>
              </c:strCache>
            </c:strRef>
          </c:cat>
          <c:val>
            <c:numRef>
              <c:f>'2. Analisis descriptivo'!$K$54:$N$54</c:f>
              <c:numCache>
                <c:formatCode>General</c:formatCode>
                <c:ptCount val="4"/>
                <c:pt idx="0">
                  <c:v>5</c:v>
                </c:pt>
                <c:pt idx="1">
                  <c:v>20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1-4E22-BEE5-DC7CBCA60616}"/>
            </c:ext>
          </c:extLst>
        </c:ser>
        <c:ser>
          <c:idx val="1"/>
          <c:order val="1"/>
          <c:tx>
            <c:strRef>
              <c:f>'2. Analisis descriptivo'!$J$55</c:f>
              <c:strCache>
                <c:ptCount val="1"/>
                <c:pt idx="0">
                  <c:v>Masculino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'2. Analisis descriptivo'!$K$53:$N$53</c:f>
              <c:strCache>
                <c:ptCount val="4"/>
                <c:pt idx="0">
                  <c:v>2 a 4</c:v>
                </c:pt>
                <c:pt idx="1">
                  <c:v>5 a 7</c:v>
                </c:pt>
                <c:pt idx="2">
                  <c:v>8 a 10</c:v>
                </c:pt>
                <c:pt idx="3">
                  <c:v>Más de 10</c:v>
                </c:pt>
              </c:strCache>
            </c:strRef>
          </c:cat>
          <c:val>
            <c:numRef>
              <c:f>'2. Analisis descriptivo'!$K$55:$N$55</c:f>
              <c:numCache>
                <c:formatCode>General</c:formatCode>
                <c:ptCount val="4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1-4E22-BEE5-DC7CBCA60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4525056"/>
        <c:axId val="655733520"/>
      </c:barChart>
      <c:catAx>
        <c:axId val="65452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cap="all" baseline="0">
                    <a:solidFill>
                      <a:srgbClr val="000000">
                        <a:lumMod val="50000"/>
                        <a:lumOff val="50000"/>
                      </a:srgbClr>
                    </a:solidFill>
                  </a:rPr>
                  <a:t>uso del celular (en horas)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5733520"/>
        <c:crosses val="autoZero"/>
        <c:auto val="1"/>
        <c:lblAlgn val="ctr"/>
        <c:lblOffset val="100"/>
        <c:noMultiLvlLbl val="0"/>
      </c:catAx>
      <c:valAx>
        <c:axId val="65573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900" b="0" i="0" u="none" strike="noStrike" kern="1200" cap="all" baseline="0">
                    <a:ln>
                      <a:noFill/>
                    </a:ln>
                    <a:solidFill>
                      <a:srgbClr val="000000">
                        <a:lumMod val="50000"/>
                        <a:lumOff val="50000"/>
                      </a:srgbClr>
                    </a:solidFill>
                  </a:rPr>
                  <a:t>Cantidad de 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52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1" u="none" strike="noStrike" baseline="0">
                <a:effectLst/>
              </a:rPr>
              <a:t>Diagrama de Dispersión: Uso del Celular vs. Horas de Sueño</a:t>
            </a:r>
            <a:r>
              <a:rPr lang="es-CO" sz="1400" b="0" i="0" u="none" strike="noStrike" baseline="0">
                <a:effectLst/>
              </a:rPr>
              <a:t>.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'3. Analisis de regresión y corr'!$B$4:$B$62</c:f>
              <c:numCache>
                <c:formatCode>General</c:formatCode>
                <c:ptCount val="59"/>
                <c:pt idx="0">
                  <c:v>6</c:v>
                </c:pt>
                <c:pt idx="1">
                  <c:v>3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9</c:v>
                </c:pt>
                <c:pt idx="6">
                  <c:v>3</c:v>
                </c:pt>
                <c:pt idx="7">
                  <c:v>11</c:v>
                </c:pt>
                <c:pt idx="8">
                  <c:v>6</c:v>
                </c:pt>
                <c:pt idx="9">
                  <c:v>3</c:v>
                </c:pt>
                <c:pt idx="10">
                  <c:v>9</c:v>
                </c:pt>
                <c:pt idx="11">
                  <c:v>3</c:v>
                </c:pt>
                <c:pt idx="12">
                  <c:v>9</c:v>
                </c:pt>
                <c:pt idx="13">
                  <c:v>6</c:v>
                </c:pt>
                <c:pt idx="14">
                  <c:v>11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11</c:v>
                </c:pt>
                <c:pt idx="19">
                  <c:v>6</c:v>
                </c:pt>
                <c:pt idx="20">
                  <c:v>6</c:v>
                </c:pt>
                <c:pt idx="21">
                  <c:v>3</c:v>
                </c:pt>
                <c:pt idx="22">
                  <c:v>9</c:v>
                </c:pt>
                <c:pt idx="23">
                  <c:v>6</c:v>
                </c:pt>
                <c:pt idx="24">
                  <c:v>3</c:v>
                </c:pt>
                <c:pt idx="25">
                  <c:v>6</c:v>
                </c:pt>
                <c:pt idx="26">
                  <c:v>6</c:v>
                </c:pt>
                <c:pt idx="27">
                  <c:v>11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  <c:pt idx="31">
                  <c:v>9</c:v>
                </c:pt>
                <c:pt idx="32">
                  <c:v>6</c:v>
                </c:pt>
                <c:pt idx="33">
                  <c:v>3</c:v>
                </c:pt>
                <c:pt idx="34">
                  <c:v>6</c:v>
                </c:pt>
                <c:pt idx="35">
                  <c:v>9</c:v>
                </c:pt>
                <c:pt idx="36">
                  <c:v>3</c:v>
                </c:pt>
                <c:pt idx="37">
                  <c:v>6</c:v>
                </c:pt>
                <c:pt idx="38">
                  <c:v>9</c:v>
                </c:pt>
                <c:pt idx="39">
                  <c:v>6</c:v>
                </c:pt>
                <c:pt idx="40">
                  <c:v>6</c:v>
                </c:pt>
                <c:pt idx="41">
                  <c:v>11</c:v>
                </c:pt>
                <c:pt idx="42">
                  <c:v>3</c:v>
                </c:pt>
                <c:pt idx="43">
                  <c:v>9</c:v>
                </c:pt>
                <c:pt idx="44">
                  <c:v>6</c:v>
                </c:pt>
                <c:pt idx="45">
                  <c:v>6</c:v>
                </c:pt>
                <c:pt idx="46">
                  <c:v>3</c:v>
                </c:pt>
                <c:pt idx="47">
                  <c:v>9</c:v>
                </c:pt>
                <c:pt idx="48">
                  <c:v>6</c:v>
                </c:pt>
                <c:pt idx="49">
                  <c:v>3</c:v>
                </c:pt>
                <c:pt idx="50">
                  <c:v>9</c:v>
                </c:pt>
                <c:pt idx="51">
                  <c:v>6</c:v>
                </c:pt>
                <c:pt idx="52">
                  <c:v>11</c:v>
                </c:pt>
                <c:pt idx="53">
                  <c:v>6</c:v>
                </c:pt>
                <c:pt idx="54">
                  <c:v>3</c:v>
                </c:pt>
                <c:pt idx="55">
                  <c:v>9</c:v>
                </c:pt>
                <c:pt idx="56">
                  <c:v>6</c:v>
                </c:pt>
                <c:pt idx="57">
                  <c:v>6</c:v>
                </c:pt>
                <c:pt idx="58">
                  <c:v>3</c:v>
                </c:pt>
              </c:numCache>
            </c:numRef>
          </c:xVal>
          <c:yVal>
            <c:numRef>
              <c:f>'3. Analisis de regresión y corr'!$C$4:$C$62</c:f>
              <c:numCache>
                <c:formatCode>General</c:formatCode>
                <c:ptCount val="59"/>
                <c:pt idx="0" formatCode="0.0">
                  <c:v>5.5</c:v>
                </c:pt>
                <c:pt idx="1">
                  <c:v>7.5</c:v>
                </c:pt>
                <c:pt idx="2">
                  <c:v>5.5</c:v>
                </c:pt>
                <c:pt idx="3">
                  <c:v>7.5</c:v>
                </c:pt>
                <c:pt idx="4">
                  <c:v>7.5</c:v>
                </c:pt>
                <c:pt idx="5">
                  <c:v>5.5</c:v>
                </c:pt>
                <c:pt idx="6">
                  <c:v>7.5</c:v>
                </c:pt>
                <c:pt idx="7">
                  <c:v>4</c:v>
                </c:pt>
                <c:pt idx="8">
                  <c:v>5.5</c:v>
                </c:pt>
                <c:pt idx="9">
                  <c:v>7.5</c:v>
                </c:pt>
                <c:pt idx="10">
                  <c:v>5.5</c:v>
                </c:pt>
                <c:pt idx="11">
                  <c:v>7.5</c:v>
                </c:pt>
                <c:pt idx="12">
                  <c:v>5.5</c:v>
                </c:pt>
                <c:pt idx="13">
                  <c:v>7.5</c:v>
                </c:pt>
                <c:pt idx="14">
                  <c:v>5.5</c:v>
                </c:pt>
                <c:pt idx="15">
                  <c:v>7.5</c:v>
                </c:pt>
                <c:pt idx="16">
                  <c:v>5.5</c:v>
                </c:pt>
                <c:pt idx="17">
                  <c:v>7.5</c:v>
                </c:pt>
                <c:pt idx="18">
                  <c:v>4</c:v>
                </c:pt>
                <c:pt idx="19">
                  <c:v>7.5</c:v>
                </c:pt>
                <c:pt idx="20">
                  <c:v>5.5</c:v>
                </c:pt>
                <c:pt idx="21">
                  <c:v>7.5</c:v>
                </c:pt>
                <c:pt idx="22">
                  <c:v>4</c:v>
                </c:pt>
                <c:pt idx="23">
                  <c:v>5.5</c:v>
                </c:pt>
                <c:pt idx="24">
                  <c:v>7.5</c:v>
                </c:pt>
                <c:pt idx="25">
                  <c:v>5.5</c:v>
                </c:pt>
                <c:pt idx="26">
                  <c:v>7.5</c:v>
                </c:pt>
                <c:pt idx="27">
                  <c:v>4</c:v>
                </c:pt>
                <c:pt idx="28">
                  <c:v>7.5</c:v>
                </c:pt>
                <c:pt idx="29">
                  <c:v>5.5</c:v>
                </c:pt>
                <c:pt idx="30">
                  <c:v>7.5</c:v>
                </c:pt>
                <c:pt idx="31">
                  <c:v>4</c:v>
                </c:pt>
                <c:pt idx="32">
                  <c:v>5.5</c:v>
                </c:pt>
                <c:pt idx="33">
                  <c:v>7.5</c:v>
                </c:pt>
                <c:pt idx="34">
                  <c:v>7.5</c:v>
                </c:pt>
                <c:pt idx="35">
                  <c:v>5.5</c:v>
                </c:pt>
                <c:pt idx="36">
                  <c:v>7.5</c:v>
                </c:pt>
                <c:pt idx="37">
                  <c:v>4</c:v>
                </c:pt>
                <c:pt idx="38">
                  <c:v>5.5</c:v>
                </c:pt>
                <c:pt idx="39">
                  <c:v>7.5</c:v>
                </c:pt>
                <c:pt idx="40">
                  <c:v>5.5</c:v>
                </c:pt>
                <c:pt idx="41">
                  <c:v>4</c:v>
                </c:pt>
                <c:pt idx="42">
                  <c:v>7.5</c:v>
                </c:pt>
                <c:pt idx="43">
                  <c:v>5.5</c:v>
                </c:pt>
                <c:pt idx="44">
                  <c:v>7.5</c:v>
                </c:pt>
                <c:pt idx="45">
                  <c:v>5.5</c:v>
                </c:pt>
                <c:pt idx="46">
                  <c:v>7.5</c:v>
                </c:pt>
                <c:pt idx="47">
                  <c:v>5.5</c:v>
                </c:pt>
                <c:pt idx="48">
                  <c:v>7.5</c:v>
                </c:pt>
                <c:pt idx="49">
                  <c:v>7.5</c:v>
                </c:pt>
                <c:pt idx="50">
                  <c:v>5.5</c:v>
                </c:pt>
                <c:pt idx="51">
                  <c:v>7.5</c:v>
                </c:pt>
                <c:pt idx="52">
                  <c:v>4</c:v>
                </c:pt>
                <c:pt idx="53">
                  <c:v>5.5</c:v>
                </c:pt>
                <c:pt idx="54">
                  <c:v>7.5</c:v>
                </c:pt>
                <c:pt idx="55">
                  <c:v>5.5</c:v>
                </c:pt>
                <c:pt idx="56">
                  <c:v>7.5</c:v>
                </c:pt>
                <c:pt idx="57">
                  <c:v>5.5</c:v>
                </c:pt>
                <c:pt idx="58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8-4CE5-8976-2116A4E2A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580751"/>
        <c:axId val="1889708015"/>
      </c:scatterChart>
      <c:valAx>
        <c:axId val="2675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baseline="0">
                    <a:effectLst/>
                  </a:rPr>
                  <a:t>Uso del Celular (Horas/día)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9708015"/>
        <c:crosses val="autoZero"/>
        <c:crossBetween val="midCat"/>
      </c:valAx>
      <c:valAx>
        <c:axId val="18897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baseline="0">
                    <a:effectLst/>
                  </a:rPr>
                  <a:t>Horas de Sueño Diario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1.6872426685071339E-2"/>
              <c:y val="0.34474225469175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75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772298</xdr:colOff>
      <xdr:row>2</xdr:row>
      <xdr:rowOff>13385</xdr:rowOff>
    </xdr:from>
    <xdr:to>
      <xdr:col>8</xdr:col>
      <xdr:colOff>298622</xdr:colOff>
      <xdr:row>24</xdr:row>
      <xdr:rowOff>130628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A7BEB7-0917-D33D-8F84-9BB99F356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751118</xdr:colOff>
      <xdr:row>26</xdr:row>
      <xdr:rowOff>37807</xdr:rowOff>
    </xdr:from>
    <xdr:to>
      <xdr:col>8</xdr:col>
      <xdr:colOff>276265</xdr:colOff>
      <xdr:row>49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5E71055-C24E-9C8F-49AE-89CC0A3DB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516039</xdr:colOff>
      <xdr:row>1</xdr:row>
      <xdr:rowOff>157990</xdr:rowOff>
    </xdr:from>
    <xdr:to>
      <xdr:col>14</xdr:col>
      <xdr:colOff>227716</xdr:colOff>
      <xdr:row>27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AC02CAE-059D-18F9-4D94-6DBAB3C42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511627</xdr:colOff>
      <xdr:row>27</xdr:row>
      <xdr:rowOff>130629</xdr:rowOff>
    </xdr:from>
    <xdr:to>
      <xdr:col>14</xdr:col>
      <xdr:colOff>217714</xdr:colOff>
      <xdr:row>49</xdr:row>
      <xdr:rowOff>96207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6003B45-6E4F-01A8-D6B1-F3CD61BD9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724047</xdr:colOff>
      <xdr:row>51</xdr:row>
      <xdr:rowOff>124893</xdr:rowOff>
    </xdr:from>
    <xdr:to>
      <xdr:col>8</xdr:col>
      <xdr:colOff>348343</xdr:colOff>
      <xdr:row>73</xdr:row>
      <xdr:rowOff>35895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2C6E74F-FA19-433E-FA65-81D9CDC505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599803</xdr:colOff>
      <xdr:row>51</xdr:row>
      <xdr:rowOff>58783</xdr:rowOff>
    </xdr:from>
    <xdr:to>
      <xdr:col>14</xdr:col>
      <xdr:colOff>295004</xdr:colOff>
      <xdr:row>72</xdr:row>
      <xdr:rowOff>155667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570373-9EFD-6B04-983E-DEA8D014D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333103</xdr:colOff>
      <xdr:row>2</xdr:row>
      <xdr:rowOff>37555</xdr:rowOff>
    </xdr:from>
    <xdr:ext cx="527004" cy="2105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029244A-420A-99ED-6894-F9BA83878604}"/>
                </a:ext>
              </a:extLst>
            </xdr:cNvPr>
            <xdr:cNvSpPr txBox="1"/>
          </xdr:nvSpPr>
          <xdr:spPr>
            <a:xfrm>
              <a:off x="7289074" y="538298"/>
              <a:ext cx="527004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es-CO" sz="1400" b="1" i="1">
                        <a:solidFill>
                          <a:schemeClr val="accent5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es-CO" sz="1200" b="1" i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029244A-420A-99ED-6894-F9BA83878604}"/>
                </a:ext>
              </a:extLst>
            </xdr:cNvPr>
            <xdr:cNvSpPr txBox="1"/>
          </xdr:nvSpPr>
          <xdr:spPr>
            <a:xfrm>
              <a:off x="7289074" y="538298"/>
              <a:ext cx="527004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𝒙_𝒊−𝒙 ̅</a:t>
              </a:r>
              <a:endParaRPr lang="es-CO" sz="1200" b="1" i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191589</xdr:colOff>
      <xdr:row>2</xdr:row>
      <xdr:rowOff>26670</xdr:rowOff>
    </xdr:from>
    <xdr:ext cx="500715" cy="2105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CA91F00-74A3-264D-8D9C-B67FD51202FA}"/>
                </a:ext>
              </a:extLst>
            </xdr:cNvPr>
            <xdr:cNvSpPr txBox="1"/>
          </xdr:nvSpPr>
          <xdr:spPr>
            <a:xfrm>
              <a:off x="8301446" y="527413"/>
              <a:ext cx="500715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CO" sz="1400" b="1" i="0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1" i="0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e>
                      <m:sub>
                        <m:r>
                          <a:rPr lang="es-CO" sz="1400" b="1" i="0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𝐢</m:t>
                        </m:r>
                      </m:sub>
                    </m:sSub>
                    <m:r>
                      <a:rPr lang="es-CO" sz="1400" b="1" i="0">
                        <a:solidFill>
                          <a:schemeClr val="accent5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s-CO" sz="1400" b="1" i="0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CO" sz="1400" b="1" i="0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𝐲</m:t>
                        </m:r>
                      </m:e>
                    </m:acc>
                  </m:oMath>
                </m:oMathPara>
              </a14:m>
              <a:endParaRPr lang="es-CO" sz="1400" b="1" i="0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CA91F00-74A3-264D-8D9C-B67FD51202FA}"/>
                </a:ext>
              </a:extLst>
            </xdr:cNvPr>
            <xdr:cNvSpPr txBox="1"/>
          </xdr:nvSpPr>
          <xdr:spPr>
            <a:xfrm>
              <a:off x="8301446" y="527413"/>
              <a:ext cx="500715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𝐲_𝐢−𝐲 ̅</a:t>
              </a:r>
              <a:endParaRPr lang="es-CO" sz="1400" b="1" i="0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103415</xdr:colOff>
      <xdr:row>2</xdr:row>
      <xdr:rowOff>29935</xdr:rowOff>
    </xdr:from>
    <xdr:ext cx="761875" cy="2202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06D0FBA-3E44-B2FD-6461-ECA1E3803C07}"/>
                </a:ext>
              </a:extLst>
            </xdr:cNvPr>
            <xdr:cNvSpPr txBox="1"/>
          </xdr:nvSpPr>
          <xdr:spPr>
            <a:xfrm>
              <a:off x="10063844" y="530678"/>
              <a:ext cx="761875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CO" sz="1400" b="1" i="1">
                                <a:solidFill>
                                  <a:schemeClr val="accent5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es-CO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  <m:r>
                              <a:rPr lang="es-CO" sz="1400" b="1" i="1">
                                <a:solidFill>
                                  <a:schemeClr val="accent5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s-CO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CO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𝒙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s-CO" sz="1400" b="1" i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06D0FBA-3E44-B2FD-6461-ECA1E3803C07}"/>
                </a:ext>
              </a:extLst>
            </xdr:cNvPr>
            <xdr:cNvSpPr txBox="1"/>
          </xdr:nvSpPr>
          <xdr:spPr>
            <a:xfrm>
              <a:off x="10063844" y="530678"/>
              <a:ext cx="761875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(𝒙_𝒊−𝒙 ̅ )^𝟐</a:t>
              </a:r>
              <a:endParaRPr lang="es-CO" sz="1400" b="1" i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168729</xdr:colOff>
      <xdr:row>2</xdr:row>
      <xdr:rowOff>37556</xdr:rowOff>
    </xdr:from>
    <xdr:ext cx="769313" cy="2202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F827811D-FBD4-4C86-9980-989C35A6B65A}"/>
                </a:ext>
              </a:extLst>
            </xdr:cNvPr>
            <xdr:cNvSpPr txBox="1"/>
          </xdr:nvSpPr>
          <xdr:spPr>
            <a:xfrm>
              <a:off x="11076215" y="538299"/>
              <a:ext cx="769313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s-MX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MX" sz="1400" b="1" i="1">
                                <a:solidFill>
                                  <a:schemeClr val="accent5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𝒚</m:t>
                                </m:r>
                              </m:e>
                              <m:sub>
                                <m:r>
                                  <a:rPr lang="es-CO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  <m:r>
                              <a:rPr lang="es-CO" sz="1400" b="1" i="1">
                                <a:solidFill>
                                  <a:schemeClr val="accent5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s-MX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s-MX" sz="1400" b="1" i="1">
                                    <a:solidFill>
                                      <a:schemeClr val="accent5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𝒚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s-CO" sz="1400" b="1" i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F827811D-FBD4-4C86-9980-989C35A6B65A}"/>
                </a:ext>
              </a:extLst>
            </xdr:cNvPr>
            <xdr:cNvSpPr txBox="1"/>
          </xdr:nvSpPr>
          <xdr:spPr>
            <a:xfrm>
              <a:off x="11076215" y="538299"/>
              <a:ext cx="769313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(𝒚_</a:t>
              </a:r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𝒊−</a:t>
              </a:r>
              <a:r>
                <a:rPr lang="es-MX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𝒚 ̅ )^</a:t>
              </a:r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𝟐</a:t>
              </a:r>
              <a:endParaRPr lang="es-CO" sz="1400" b="1" i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889726</xdr:colOff>
      <xdr:row>2</xdr:row>
      <xdr:rowOff>29087</xdr:rowOff>
    </xdr:from>
    <xdr:ext cx="175304" cy="24057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DB341BEE-C0B2-9BC2-A443-76C1777D3034}"/>
                </a:ext>
              </a:extLst>
            </xdr:cNvPr>
            <xdr:cNvSpPr txBox="1"/>
          </xdr:nvSpPr>
          <xdr:spPr>
            <a:xfrm>
              <a:off x="13432246" y="638687"/>
              <a:ext cx="175304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CO" sz="16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CO" sz="16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es-CO" sz="12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DB341BEE-C0B2-9BC2-A443-76C1777D3034}"/>
                </a:ext>
              </a:extLst>
            </xdr:cNvPr>
            <xdr:cNvSpPr txBox="1"/>
          </xdr:nvSpPr>
          <xdr:spPr>
            <a:xfrm>
              <a:off x="13432246" y="638687"/>
              <a:ext cx="175304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𝒙 ̅</a:t>
              </a:r>
              <a:endParaRPr lang="es-CO" sz="12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902184</xdr:colOff>
      <xdr:row>3</xdr:row>
      <xdr:rowOff>33202</xdr:rowOff>
    </xdr:from>
    <xdr:ext cx="157159" cy="2105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F0FEAEEE-EF91-AC23-5653-2FF8D9DBE24A}"/>
                </a:ext>
              </a:extLst>
            </xdr:cNvPr>
            <xdr:cNvSpPr txBox="1"/>
          </xdr:nvSpPr>
          <xdr:spPr>
            <a:xfrm>
              <a:off x="13444704" y="947602"/>
              <a:ext cx="157159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es-CO" sz="1100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F0FEAEEE-EF91-AC23-5653-2FF8D9DBE24A}"/>
                </a:ext>
              </a:extLst>
            </xdr:cNvPr>
            <xdr:cNvSpPr txBox="1"/>
          </xdr:nvSpPr>
          <xdr:spPr>
            <a:xfrm>
              <a:off x="13444704" y="947602"/>
              <a:ext cx="157159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𝒚 ̅</a:t>
              </a:r>
              <a:endParaRPr lang="es-CO" sz="1100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884767</xdr:colOff>
      <xdr:row>4</xdr:row>
      <xdr:rowOff>83397</xdr:rowOff>
    </xdr:from>
    <xdr:ext cx="185756" cy="2105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479BA37-A2A8-C3A2-BDAB-5EAD6CA4E309}"/>
                </a:ext>
              </a:extLst>
            </xdr:cNvPr>
            <xdr:cNvSpPr txBox="1"/>
          </xdr:nvSpPr>
          <xdr:spPr>
            <a:xfrm>
              <a:off x="13427287" y="1302597"/>
              <a:ext cx="185756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s-CO" sz="1400" b="1" i="1">
                        <a:solidFill>
                          <a:schemeClr val="accent5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𝑵</m:t>
                    </m:r>
                  </m:oMath>
                </m:oMathPara>
              </a14:m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479BA37-A2A8-C3A2-BDAB-5EAD6CA4E309}"/>
                </a:ext>
              </a:extLst>
            </xdr:cNvPr>
            <xdr:cNvSpPr txBox="1"/>
          </xdr:nvSpPr>
          <xdr:spPr>
            <a:xfrm>
              <a:off x="13427287" y="1302597"/>
              <a:ext cx="185756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𝑵</a:t>
              </a:r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932179</xdr:colOff>
      <xdr:row>10</xdr:row>
      <xdr:rowOff>227752</xdr:rowOff>
    </xdr:from>
    <xdr:ext cx="344389" cy="268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F93369DC-8F6B-92AC-E4DD-E3CAC10D9BD2}"/>
                </a:ext>
              </a:extLst>
            </xdr:cNvPr>
            <xdr:cNvSpPr txBox="1"/>
          </xdr:nvSpPr>
          <xdr:spPr>
            <a:xfrm>
              <a:off x="13474699" y="3275752"/>
              <a:ext cx="344389" cy="268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CO" sz="16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6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𝒙𝒚</m:t>
                        </m:r>
                      </m:sub>
                    </m:sSub>
                  </m:oMath>
                </m:oMathPara>
              </a14:m>
              <a:endParaRPr lang="es-CO" sz="12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F93369DC-8F6B-92AC-E4DD-E3CAC10D9BD2}"/>
                </a:ext>
              </a:extLst>
            </xdr:cNvPr>
            <xdr:cNvSpPr txBox="1"/>
          </xdr:nvSpPr>
          <xdr:spPr>
            <a:xfrm>
              <a:off x="13474699" y="3275752"/>
              <a:ext cx="344389" cy="268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𝒔_𝒙𝒚</a:t>
              </a:r>
              <a:endParaRPr lang="es-CO" sz="12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1009226</xdr:colOff>
      <xdr:row>6</xdr:row>
      <xdr:rowOff>24553</xdr:rowOff>
    </xdr:from>
    <xdr:ext cx="223010" cy="2105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4444EC58-7833-0B82-11C3-B17A9BB3E7F5}"/>
                </a:ext>
              </a:extLst>
            </xdr:cNvPr>
            <xdr:cNvSpPr txBox="1"/>
          </xdr:nvSpPr>
          <xdr:spPr>
            <a:xfrm>
              <a:off x="13551746" y="1853353"/>
              <a:ext cx="22301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</m:e>
                      <m:sub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sub>
                    </m:sSub>
                  </m:oMath>
                </m:oMathPara>
              </a14:m>
              <a:endParaRPr lang="es-CO" sz="11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4444EC58-7833-0B82-11C3-B17A9BB3E7F5}"/>
                </a:ext>
              </a:extLst>
            </xdr:cNvPr>
            <xdr:cNvSpPr txBox="1"/>
          </xdr:nvSpPr>
          <xdr:spPr>
            <a:xfrm>
              <a:off x="13551746" y="1853353"/>
              <a:ext cx="22301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𝒔_𝒙</a:t>
              </a:r>
              <a:endParaRPr lang="es-CO" sz="11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1002453</xdr:colOff>
      <xdr:row>7</xdr:row>
      <xdr:rowOff>9313</xdr:rowOff>
    </xdr:from>
    <xdr:ext cx="225766" cy="2351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91DC9797-0245-AF55-231B-DAD44D4DCFD2}"/>
                </a:ext>
              </a:extLst>
            </xdr:cNvPr>
            <xdr:cNvSpPr txBox="1"/>
          </xdr:nvSpPr>
          <xdr:spPr>
            <a:xfrm>
              <a:off x="13544973" y="2142913"/>
              <a:ext cx="225766" cy="2351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</m:e>
                      <m:sub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𝒚</m:t>
                        </m:r>
                      </m:sub>
                    </m:sSub>
                  </m:oMath>
                </m:oMathPara>
              </a14:m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91DC9797-0245-AF55-231B-DAD44D4DCFD2}"/>
                </a:ext>
              </a:extLst>
            </xdr:cNvPr>
            <xdr:cNvSpPr txBox="1"/>
          </xdr:nvSpPr>
          <xdr:spPr>
            <a:xfrm>
              <a:off x="13544973" y="2142913"/>
              <a:ext cx="225766" cy="2351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𝒔_𝒚</a:t>
              </a:r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992293</xdr:colOff>
      <xdr:row>8</xdr:row>
      <xdr:rowOff>42333</xdr:rowOff>
    </xdr:from>
    <xdr:ext cx="226472" cy="2202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FA56CB15-C7CA-4F35-2B7D-92BB5E28AB85}"/>
                </a:ext>
              </a:extLst>
            </xdr:cNvPr>
            <xdr:cNvSpPr txBox="1"/>
          </xdr:nvSpPr>
          <xdr:spPr>
            <a:xfrm>
              <a:off x="13534813" y="2480733"/>
              <a:ext cx="226472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</m:e>
                      <m:sub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</m:t>
                        </m:r>
                      </m:sub>
                      <m:sup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</m:oMath>
                </m:oMathPara>
              </a14:m>
              <a:endParaRPr lang="es-CO" sz="1400" b="1" i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FA56CB15-C7CA-4F35-2B7D-92BB5E28AB85}"/>
                </a:ext>
              </a:extLst>
            </xdr:cNvPr>
            <xdr:cNvSpPr txBox="1"/>
          </xdr:nvSpPr>
          <xdr:spPr>
            <a:xfrm>
              <a:off x="13534813" y="2480733"/>
              <a:ext cx="226472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𝒔_𝒙^𝟐</a:t>
              </a:r>
              <a:endParaRPr lang="es-CO" sz="1400" b="1" i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977053</xdr:colOff>
      <xdr:row>9</xdr:row>
      <xdr:rowOff>41486</xdr:rowOff>
    </xdr:from>
    <xdr:ext cx="225831" cy="2449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12DF55F3-2F74-0FFB-670B-1EAD2D0ED8D8}"/>
                </a:ext>
              </a:extLst>
            </xdr:cNvPr>
            <xdr:cNvSpPr txBox="1"/>
          </xdr:nvSpPr>
          <xdr:spPr>
            <a:xfrm>
              <a:off x="13519573" y="2784686"/>
              <a:ext cx="225831" cy="2449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</m:e>
                      <m:sub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𝒚</m:t>
                        </m:r>
                      </m:sub>
                      <m:sup>
                        <m:r>
                          <a:rPr lang="es-CO" sz="1400" b="1" i="0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</m:oMath>
                </m:oMathPara>
              </a14:m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12DF55F3-2F74-0FFB-670B-1EAD2D0ED8D8}"/>
                </a:ext>
              </a:extLst>
            </xdr:cNvPr>
            <xdr:cNvSpPr txBox="1"/>
          </xdr:nvSpPr>
          <xdr:spPr>
            <a:xfrm>
              <a:off x="13519573" y="2784686"/>
              <a:ext cx="225831" cy="2449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𝒔_𝒚^𝟐</a:t>
              </a:r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928793</xdr:colOff>
      <xdr:row>12</xdr:row>
      <xdr:rowOff>236219</xdr:rowOff>
    </xdr:from>
    <xdr:ext cx="351506" cy="268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C510C0FB-025D-8742-8A23-986251D60D7B}"/>
                </a:ext>
              </a:extLst>
            </xdr:cNvPr>
            <xdr:cNvSpPr txBox="1"/>
          </xdr:nvSpPr>
          <xdr:spPr>
            <a:xfrm>
              <a:off x="13471313" y="3893819"/>
              <a:ext cx="351506" cy="268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CO" sz="16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6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𝒙𝒚</m:t>
                        </m:r>
                      </m:sub>
                    </m:sSub>
                  </m:oMath>
                </m:oMathPara>
              </a14:m>
              <a:endParaRPr lang="es-CO" sz="16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C510C0FB-025D-8742-8A23-986251D60D7B}"/>
                </a:ext>
              </a:extLst>
            </xdr:cNvPr>
            <xdr:cNvSpPr txBox="1"/>
          </xdr:nvSpPr>
          <xdr:spPr>
            <a:xfrm>
              <a:off x="13471313" y="3893819"/>
              <a:ext cx="351506" cy="268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𝒓_𝒙𝒚</a:t>
              </a:r>
              <a:endParaRPr lang="es-CO" sz="16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969433</xdr:colOff>
      <xdr:row>14</xdr:row>
      <xdr:rowOff>272627</xdr:rowOff>
    </xdr:from>
    <xdr:ext cx="260841" cy="2202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47D2C1C-2BF6-B1EC-F8F5-8DBDF7A24205}"/>
                </a:ext>
              </a:extLst>
            </xdr:cNvPr>
            <xdr:cNvSpPr txBox="1"/>
          </xdr:nvSpPr>
          <xdr:spPr>
            <a:xfrm>
              <a:off x="13511953" y="4539827"/>
              <a:ext cx="260841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400" b="1" i="1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𝑹</m:t>
                        </m:r>
                      </m:e>
                      <m:sup>
                        <m:r>
                          <a:rPr lang="es-CO" sz="1400" b="1" i="0">
                            <a:solidFill>
                              <a:schemeClr val="accent5">
                                <a:lumMod val="5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47D2C1C-2BF6-B1EC-F8F5-8DBDF7A24205}"/>
                </a:ext>
              </a:extLst>
            </xdr:cNvPr>
            <xdr:cNvSpPr txBox="1"/>
          </xdr:nvSpPr>
          <xdr:spPr>
            <a:xfrm>
              <a:off x="13511953" y="4539827"/>
              <a:ext cx="260841" cy="220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𝑹^𝟐</a:t>
              </a:r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988060</xdr:colOff>
      <xdr:row>16</xdr:row>
      <xdr:rowOff>24553</xdr:rowOff>
    </xdr:from>
    <xdr:ext cx="161390" cy="2105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8D29391E-EABC-EDB1-C008-CAF9A64D0C0D}"/>
                </a:ext>
              </a:extLst>
            </xdr:cNvPr>
            <xdr:cNvSpPr txBox="1"/>
          </xdr:nvSpPr>
          <xdr:spPr>
            <a:xfrm>
              <a:off x="13530580" y="4901353"/>
              <a:ext cx="16139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s-MX" sz="1400" b="1" i="1">
                        <a:solidFill>
                          <a:schemeClr val="accent5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𝒂</m:t>
                    </m:r>
                  </m:oMath>
                </m:oMathPara>
              </a14:m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8D29391E-EABC-EDB1-C008-CAF9A64D0C0D}"/>
                </a:ext>
              </a:extLst>
            </xdr:cNvPr>
            <xdr:cNvSpPr txBox="1"/>
          </xdr:nvSpPr>
          <xdr:spPr>
            <a:xfrm>
              <a:off x="13530580" y="4901353"/>
              <a:ext cx="16139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𝒂</a:t>
              </a:r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1003300</xdr:colOff>
      <xdr:row>17</xdr:row>
      <xdr:rowOff>54186</xdr:rowOff>
    </xdr:from>
    <xdr:ext cx="158826" cy="2105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442F614-B028-4B2C-84A3-44519FBF7178}"/>
                </a:ext>
              </a:extLst>
            </xdr:cNvPr>
            <xdr:cNvSpPr txBox="1"/>
          </xdr:nvSpPr>
          <xdr:spPr>
            <a:xfrm>
              <a:off x="13545820" y="5235786"/>
              <a:ext cx="158826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s-MX" sz="1400" b="1" i="1">
                        <a:solidFill>
                          <a:schemeClr val="accent5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𝒃</m:t>
                    </m:r>
                  </m:oMath>
                </m:oMathPara>
              </a14:m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442F614-B028-4B2C-84A3-44519FBF7178}"/>
                </a:ext>
              </a:extLst>
            </xdr:cNvPr>
            <xdr:cNvSpPr txBox="1"/>
          </xdr:nvSpPr>
          <xdr:spPr>
            <a:xfrm>
              <a:off x="13545820" y="5235786"/>
              <a:ext cx="158826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𝒃</a:t>
              </a:r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1006686</xdr:colOff>
      <xdr:row>18</xdr:row>
      <xdr:rowOff>56727</xdr:rowOff>
    </xdr:from>
    <xdr:ext cx="162416" cy="21050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465F3ED6-5269-4A82-92DB-4DDD06AC3E93}"/>
                </a:ext>
              </a:extLst>
            </xdr:cNvPr>
            <xdr:cNvSpPr txBox="1"/>
          </xdr:nvSpPr>
          <xdr:spPr>
            <a:xfrm>
              <a:off x="13549206" y="5543127"/>
              <a:ext cx="162416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s-MX" sz="1400" b="1" i="1">
                        <a:solidFill>
                          <a:schemeClr val="accent5">
                            <a:lumMod val="50000"/>
                          </a:schemeClr>
                        </a:solidFill>
                        <a:latin typeface="Cambria Math" panose="02040503050406030204" pitchFamily="18" charset="0"/>
                      </a:rPr>
                      <m:t>𝒀</m:t>
                    </m:r>
                  </m:oMath>
                </m:oMathPara>
              </a14:m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Choice>
      <mc:Fallback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465F3ED6-5269-4A82-92DB-4DDD06AC3E93}"/>
                </a:ext>
              </a:extLst>
            </xdr:cNvPr>
            <xdr:cNvSpPr txBox="1"/>
          </xdr:nvSpPr>
          <xdr:spPr>
            <a:xfrm>
              <a:off x="13549206" y="5543127"/>
              <a:ext cx="162416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400" b="1" i="0">
                  <a:solidFill>
                    <a:schemeClr val="accent5">
                      <a:lumMod val="50000"/>
                    </a:schemeClr>
                  </a:solidFill>
                  <a:latin typeface="Cambria Math" panose="02040503050406030204" pitchFamily="18" charset="0"/>
                </a:rPr>
                <a:t>𝒀</a:t>
              </a:r>
              <a:endParaRPr lang="es-CO" sz="14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mc:Fallback>
    </mc:AlternateContent>
    <xdr:clientData/>
  </xdr:oneCellAnchor>
  <xdr:twoCellAnchor>
    <xdr:from>
      <xdr:col>8</xdr:col>
      <xdr:colOff>762000</xdr:colOff>
      <xdr:row>25</xdr:row>
      <xdr:rowOff>224446</xdr:rowOff>
    </xdr:from>
    <xdr:to>
      <xdr:col>16</xdr:col>
      <xdr:colOff>19570</xdr:colOff>
      <xdr:row>45</xdr:row>
      <xdr:rowOff>655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BA863574-F07C-66C3-2927-0D7E73D02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304.699860300927" createdVersion="8" refreshedVersion="8" minRefreshableVersion="3" recordCount="59" xr:uid="{078A9FEC-E21E-4724-B59C-60B733091A1A}">
  <cacheSource type="worksheet">
    <worksheetSource name="Tabla1"/>
  </cacheSource>
  <cacheFields count="12">
    <cacheField name="Carrera" numFmtId="0">
      <sharedItems/>
    </cacheField>
    <cacheField name="  Semestre académico actual  " numFmtId="0">
      <sharedItems containsMixedTypes="1" containsNumber="1" containsInteger="1" minValue="2" maxValue="9"/>
    </cacheField>
    <cacheField name="Edad:" numFmtId="0">
      <sharedItems count="4">
        <s v="19-21"/>
        <s v="22-24"/>
        <s v="16-18"/>
        <s v="25 o más"/>
      </sharedItems>
    </cacheField>
    <cacheField name="  Género  " numFmtId="0">
      <sharedItems count="2">
        <s v="Femenino"/>
        <s v="Masculino"/>
      </sharedItems>
    </cacheField>
    <cacheField name="Horas promedio de sueño al día " numFmtId="0">
      <sharedItems count="3">
        <s v="5 a 6"/>
        <s v="7 a 8"/>
        <s v="Menos de 5"/>
      </sharedItems>
    </cacheField>
    <cacheField name="Horas promedio al día de uso del celular  " numFmtId="0">
      <sharedItems count="4">
        <s v="5 a 7"/>
        <s v="2 a 4"/>
        <s v="8 a 10"/>
        <s v="Más de 10"/>
      </sharedItems>
    </cacheField>
    <cacheField name="¿Para qué usas la mayor parte del tiempo el celular?  " numFmtId="0">
      <sharedItems count="6">
        <s v="Comunicación (WhatsApp, Telegram)"/>
        <s v="Herramientas de aprendizaje"/>
        <s v="Consumir contenido corto (TikTok, reels, X)"/>
        <s v="Juegos móviles"/>
        <s v="Consumir contenido largo (YouTube, Substack)"/>
        <s v="Publicar en redes"/>
      </sharedItems>
    </cacheField>
    <cacheField name="¿Haces actividad física?" numFmtId="0">
      <sharedItems/>
    </cacheField>
    <cacheField name="¿Cuántas horas al día dedicas a estudiar o trabajar?  " numFmtId="0">
      <sharedItems/>
    </cacheField>
    <cacheField name="Nivel de satisfacción contigo mismo/a y con tu vida  " numFmtId="0">
      <sharedItems containsSemiMixedTypes="0" containsString="0" containsNumber="1" containsInteger="1" minValue="5" maxValue="10" count="6">
        <n v="8"/>
        <n v="9"/>
        <n v="6"/>
        <n v="7"/>
        <n v="5"/>
        <n v="10"/>
      </sharedItems>
    </cacheField>
    <cacheField name="¿Cómo calificas tu nivel de estrés?" numFmtId="0">
      <sharedItems count="4">
        <s v="Medio"/>
        <s v="Bajo"/>
        <s v="Alto"/>
        <s v="Muy alto"/>
      </sharedItems>
    </cacheField>
    <cacheField name="¿Sientes que el uso del celular afecta tu sueño?  " numFmtId="0">
      <sharedItems count="5">
        <s v="A veces"/>
        <s v="Casi nunca"/>
        <s v="Casi siempre"/>
        <s v="Nunca"/>
        <s v="Siemp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Ingeniería Informática"/>
    <n v="4"/>
    <x v="0"/>
    <x v="0"/>
    <x v="0"/>
    <x v="0"/>
    <x v="0"/>
    <s v="1-2 veces por semana"/>
    <s v="4 a 6"/>
    <x v="0"/>
    <x v="0"/>
    <x v="0"/>
  </r>
  <r>
    <s v="Ingeniería Industrial"/>
    <n v="6"/>
    <x v="1"/>
    <x v="1"/>
    <x v="1"/>
    <x v="1"/>
    <x v="1"/>
    <s v="3-4 veces por semana"/>
    <s v="7 a 9"/>
    <x v="1"/>
    <x v="1"/>
    <x v="1"/>
  </r>
  <r>
    <s v="Psicología"/>
    <n v="2"/>
    <x v="2"/>
    <x v="0"/>
    <x v="0"/>
    <x v="2"/>
    <x v="2"/>
    <s v="1-2 veces por semana"/>
    <s v="4 a 6"/>
    <x v="2"/>
    <x v="2"/>
    <x v="2"/>
  </r>
  <r>
    <s v="Ingeniería de Sistemas"/>
    <n v="7"/>
    <x v="1"/>
    <x v="1"/>
    <x v="1"/>
    <x v="0"/>
    <x v="3"/>
    <s v="1-2 veces por semana"/>
    <s v="7 a 9"/>
    <x v="3"/>
    <x v="0"/>
    <x v="0"/>
  </r>
  <r>
    <s v="Administración de Empresas"/>
    <n v="4"/>
    <x v="0"/>
    <x v="0"/>
    <x v="1"/>
    <x v="0"/>
    <x v="0"/>
    <s v="3-4 veces por semana"/>
    <s v="4 a 6"/>
    <x v="0"/>
    <x v="1"/>
    <x v="1"/>
  </r>
  <r>
    <s v="Derecho"/>
    <n v="9"/>
    <x v="3"/>
    <x v="1"/>
    <x v="0"/>
    <x v="2"/>
    <x v="4"/>
    <s v="1-2 veces por semana"/>
    <s v="Más de 9."/>
    <x v="2"/>
    <x v="2"/>
    <x v="2"/>
  </r>
  <r>
    <s v="Contaduría Pública"/>
    <n v="5"/>
    <x v="1"/>
    <x v="0"/>
    <x v="1"/>
    <x v="1"/>
    <x v="1"/>
    <s v="5 o más veces por semana"/>
    <s v="7 a 9"/>
    <x v="1"/>
    <x v="0"/>
    <x v="3"/>
  </r>
  <r>
    <s v="Tecnología en Desarrollo de Sistemas de Información"/>
    <n v="2"/>
    <x v="0"/>
    <x v="1"/>
    <x v="2"/>
    <x v="3"/>
    <x v="2"/>
    <s v="Nunca"/>
    <s v="4 a 6"/>
    <x v="4"/>
    <x v="3"/>
    <x v="4"/>
  </r>
  <r>
    <s v="Administración de Negocios Internacionales"/>
    <n v="7"/>
    <x v="1"/>
    <x v="0"/>
    <x v="0"/>
    <x v="0"/>
    <x v="5"/>
    <s v="3-4 veces por semana"/>
    <s v="7 a 9"/>
    <x v="0"/>
    <x v="0"/>
    <x v="0"/>
  </r>
  <r>
    <s v="Ingeniería Electrónica"/>
    <n v="4"/>
    <x v="0"/>
    <x v="1"/>
    <x v="1"/>
    <x v="1"/>
    <x v="1"/>
    <s v="5 o más veces por semana"/>
    <s v="7 a 9"/>
    <x v="1"/>
    <x v="1"/>
    <x v="1"/>
  </r>
  <r>
    <s v="Ingeniería de Sistemas"/>
    <n v="5"/>
    <x v="1"/>
    <x v="0"/>
    <x v="0"/>
    <x v="2"/>
    <x v="0"/>
    <s v="1-2 veces por semana"/>
    <s v="7 a 9"/>
    <x v="3"/>
    <x v="2"/>
    <x v="2"/>
  </r>
  <r>
    <s v="Ingeniería Industrial"/>
    <n v="2"/>
    <x v="0"/>
    <x v="1"/>
    <x v="1"/>
    <x v="1"/>
    <x v="1"/>
    <s v="3-4 veces por semana"/>
    <s v="4 a 6"/>
    <x v="0"/>
    <x v="1"/>
    <x v="3"/>
  </r>
  <r>
    <s v="Psicología"/>
    <n v="4"/>
    <x v="0"/>
    <x v="0"/>
    <x v="0"/>
    <x v="2"/>
    <x v="2"/>
    <s v="1-2 veces por semana"/>
    <s v="7 a 9"/>
    <x v="2"/>
    <x v="2"/>
    <x v="4"/>
  </r>
  <r>
    <s v="Derecho"/>
    <n v="6"/>
    <x v="1"/>
    <x v="0"/>
    <x v="1"/>
    <x v="0"/>
    <x v="0"/>
    <s v="3-4 veces por semana"/>
    <s v="Más de 9."/>
    <x v="0"/>
    <x v="0"/>
    <x v="0"/>
  </r>
  <r>
    <s v="Ingeniería Informática"/>
    <n v="7"/>
    <x v="1"/>
    <x v="1"/>
    <x v="0"/>
    <x v="3"/>
    <x v="3"/>
    <s v="Nunca"/>
    <s v="7 a 9"/>
    <x v="4"/>
    <x v="3"/>
    <x v="4"/>
  </r>
  <r>
    <s v="Administración de Empresas"/>
    <n v="2"/>
    <x v="2"/>
    <x v="0"/>
    <x v="1"/>
    <x v="0"/>
    <x v="2"/>
    <s v="5 o más veces por semana"/>
    <s v="4 a 6"/>
    <x v="1"/>
    <x v="1"/>
    <x v="0"/>
  </r>
  <r>
    <s v="Contaduría Pública"/>
    <n v="8"/>
    <x v="3"/>
    <x v="1"/>
    <x v="0"/>
    <x v="1"/>
    <x v="1"/>
    <s v="1-2 veces por semana"/>
    <s v="Más de 9."/>
    <x v="3"/>
    <x v="2"/>
    <x v="1"/>
  </r>
  <r>
    <s v="Ingeniería Electrónica"/>
    <n v="4"/>
    <x v="0"/>
    <x v="0"/>
    <x v="1"/>
    <x v="0"/>
    <x v="4"/>
    <s v="3-4 veces por semana"/>
    <s v="7 a 9"/>
    <x v="0"/>
    <x v="0"/>
    <x v="0"/>
  </r>
  <r>
    <s v="Tecnología en Gestión de Redes"/>
    <n v="6"/>
    <x v="1"/>
    <x v="1"/>
    <x v="2"/>
    <x v="3"/>
    <x v="3"/>
    <s v="1-2 veces por semana"/>
    <s v="7 a 9"/>
    <x v="2"/>
    <x v="3"/>
    <x v="4"/>
  </r>
  <r>
    <s v="Administración de Negocios Internacionales"/>
    <n v="4"/>
    <x v="0"/>
    <x v="0"/>
    <x v="1"/>
    <x v="0"/>
    <x v="5"/>
    <s v="3-4 veces por semana"/>
    <s v="4 a 6"/>
    <x v="0"/>
    <x v="1"/>
    <x v="1"/>
  </r>
  <r>
    <s v="Ingeniería Industrial"/>
    <n v="8"/>
    <x v="1"/>
    <x v="0"/>
    <x v="0"/>
    <x v="0"/>
    <x v="0"/>
    <s v="1-2 veces por semana"/>
    <s v="Más de 9."/>
    <x v="3"/>
    <x v="2"/>
    <x v="2"/>
  </r>
  <r>
    <s v="Derecho"/>
    <n v="4"/>
    <x v="0"/>
    <x v="1"/>
    <x v="1"/>
    <x v="1"/>
    <x v="1"/>
    <s v="5 o más veces por semana"/>
    <s v="7 a 9"/>
    <x v="1"/>
    <x v="1"/>
    <x v="3"/>
  </r>
  <r>
    <s v="Ingeniería Informática"/>
    <n v="9"/>
    <x v="3"/>
    <x v="1"/>
    <x v="2"/>
    <x v="2"/>
    <x v="4"/>
    <s v="Nunca"/>
    <s v="Más de 9."/>
    <x v="4"/>
    <x v="3"/>
    <x v="4"/>
  </r>
  <r>
    <s v="Psicología"/>
    <n v="5"/>
    <x v="1"/>
    <x v="0"/>
    <x v="0"/>
    <x v="0"/>
    <x v="0"/>
    <s v="3-4 veces por semana"/>
    <s v="7 a 9"/>
    <x v="3"/>
    <x v="0"/>
    <x v="0"/>
  </r>
  <r>
    <s v="Administración de Empresas"/>
    <n v="4"/>
    <x v="0"/>
    <x v="1"/>
    <x v="1"/>
    <x v="1"/>
    <x v="1"/>
    <s v="5 o más veces por semana"/>
    <s v="4 a 6"/>
    <x v="1"/>
    <x v="1"/>
    <x v="1"/>
  </r>
  <r>
    <s v="Contaduría Pública"/>
    <s v="9 o más"/>
    <x v="3"/>
    <x v="0"/>
    <x v="0"/>
    <x v="0"/>
    <x v="0"/>
    <s v="1-2 veces por semana"/>
    <s v="Más de 9"/>
    <x v="3"/>
    <x v="2"/>
    <x v="0"/>
  </r>
  <r>
    <s v="Ingeniería Industrial"/>
    <s v="3-4"/>
    <x v="0"/>
    <x v="0"/>
    <x v="1"/>
    <x v="0"/>
    <x v="2"/>
    <s v="3-4 veces por semana"/>
    <s v="7 a 9"/>
    <x v="0"/>
    <x v="0"/>
    <x v="1"/>
  </r>
  <r>
    <s v="Tecnología en Desarrollo de Sistemas de Información"/>
    <s v="5-6"/>
    <x v="1"/>
    <x v="1"/>
    <x v="2"/>
    <x v="3"/>
    <x v="3"/>
    <s v="Nunca"/>
    <s v="7 a 9"/>
    <x v="4"/>
    <x v="3"/>
    <x v="4"/>
  </r>
  <r>
    <s v="Derecho"/>
    <s v="7-8"/>
    <x v="1"/>
    <x v="0"/>
    <x v="1"/>
    <x v="1"/>
    <x v="1"/>
    <s v="3-4 veces por semana"/>
    <s v="Más de 9"/>
    <x v="0"/>
    <x v="0"/>
    <x v="3"/>
  </r>
  <r>
    <s v="Ingeniería Electrónica"/>
    <s v="1-2"/>
    <x v="0"/>
    <x v="1"/>
    <x v="0"/>
    <x v="0"/>
    <x v="4"/>
    <s v="1-2 veces por semana"/>
    <s v="7 a 9"/>
    <x v="3"/>
    <x v="0"/>
    <x v="0"/>
  </r>
  <r>
    <s v="Psicología"/>
    <s v="7-8"/>
    <x v="1"/>
    <x v="0"/>
    <x v="1"/>
    <x v="0"/>
    <x v="0"/>
    <s v="5 o más veces por semana"/>
    <s v="7 a 9"/>
    <x v="1"/>
    <x v="1"/>
    <x v="1"/>
  </r>
  <r>
    <s v="Ingeniería Informática"/>
    <s v="3-4"/>
    <x v="0"/>
    <x v="1"/>
    <x v="2"/>
    <x v="2"/>
    <x v="2"/>
    <s v="Nunca"/>
    <s v="7 a 9"/>
    <x v="2"/>
    <x v="2"/>
    <x v="4"/>
  </r>
  <r>
    <s v="Administración de Empresas"/>
    <s v="5-6"/>
    <x v="1"/>
    <x v="0"/>
    <x v="0"/>
    <x v="0"/>
    <x v="5"/>
    <s v="3-4 veces por semana"/>
    <s v="4 a 6"/>
    <x v="0"/>
    <x v="0"/>
    <x v="0"/>
  </r>
  <r>
    <s v="Ingeniería de Sistemas"/>
    <s v="9 o más"/>
    <x v="3"/>
    <x v="1"/>
    <x v="1"/>
    <x v="1"/>
    <x v="1"/>
    <s v="5 o más veces por semana"/>
    <s v="Más de 9"/>
    <x v="1"/>
    <x v="0"/>
    <x v="3"/>
  </r>
  <r>
    <s v="Administración de Negocios Internacionales"/>
    <s v="1-2"/>
    <x v="0"/>
    <x v="0"/>
    <x v="1"/>
    <x v="0"/>
    <x v="2"/>
    <s v="3-4 veces por semana"/>
    <s v="4 a 6"/>
    <x v="0"/>
    <x v="1"/>
    <x v="0"/>
  </r>
  <r>
    <s v="Tecnología en Gestión de Redes"/>
    <s v="3-4"/>
    <x v="0"/>
    <x v="1"/>
    <x v="0"/>
    <x v="2"/>
    <x v="3"/>
    <s v="1-2 veces por semana"/>
    <s v="7 a 9"/>
    <x v="2"/>
    <x v="2"/>
    <x v="2"/>
  </r>
  <r>
    <s v="Contaduría Pública"/>
    <s v="5-6"/>
    <x v="1"/>
    <x v="0"/>
    <x v="1"/>
    <x v="1"/>
    <x v="0"/>
    <s v="3-4 veces por semana"/>
    <s v="7 a 9"/>
    <x v="0"/>
    <x v="0"/>
    <x v="1"/>
  </r>
  <r>
    <s v="Derecho"/>
    <s v="9 o más"/>
    <x v="3"/>
    <x v="1"/>
    <x v="2"/>
    <x v="0"/>
    <x v="4"/>
    <s v="Nunca"/>
    <s v="Más de 9"/>
    <x v="4"/>
    <x v="3"/>
    <x v="4"/>
  </r>
  <r>
    <s v="Ingeniería Industrial"/>
    <s v="5-6"/>
    <x v="1"/>
    <x v="0"/>
    <x v="0"/>
    <x v="2"/>
    <x v="0"/>
    <s v="1-2 veces por semana"/>
    <s v="7 a 9"/>
    <x v="3"/>
    <x v="2"/>
    <x v="2"/>
  </r>
  <r>
    <s v="Ingeniería Informática"/>
    <s v="1-2"/>
    <x v="2"/>
    <x v="0"/>
    <x v="1"/>
    <x v="0"/>
    <x v="2"/>
    <s v="5 o más veces por semana"/>
    <s v="4 a 6"/>
    <x v="1"/>
    <x v="1"/>
    <x v="0"/>
  </r>
  <r>
    <s v="Psicología"/>
    <s v="3-4"/>
    <x v="0"/>
    <x v="1"/>
    <x v="0"/>
    <x v="0"/>
    <x v="0"/>
    <s v="3-4 veces por semana"/>
    <s v="7 a 9"/>
    <x v="3"/>
    <x v="0"/>
    <x v="0"/>
  </r>
  <r>
    <s v="Ingeniería Electrónica"/>
    <s v="7-8"/>
    <x v="1"/>
    <x v="1"/>
    <x v="2"/>
    <x v="3"/>
    <x v="3"/>
    <s v="1-2 veces por semana"/>
    <s v="Más de 9"/>
    <x v="4"/>
    <x v="3"/>
    <x v="4"/>
  </r>
  <r>
    <s v="Administración de Empresas"/>
    <s v="5-6"/>
    <x v="1"/>
    <x v="0"/>
    <x v="1"/>
    <x v="1"/>
    <x v="1"/>
    <s v="5 o más veces por semana"/>
    <s v="7 a 9"/>
    <x v="5"/>
    <x v="1"/>
    <x v="3"/>
  </r>
  <r>
    <s v="Tecnología en Desarrollo de Sistemas de Información"/>
    <s v="1-2"/>
    <x v="0"/>
    <x v="1"/>
    <x v="0"/>
    <x v="2"/>
    <x v="2"/>
    <s v="Nunca"/>
    <s v="4 a 6"/>
    <x v="2"/>
    <x v="2"/>
    <x v="4"/>
  </r>
  <r>
    <s v="Derecho"/>
    <s v="5-6"/>
    <x v="1"/>
    <x v="0"/>
    <x v="1"/>
    <x v="0"/>
    <x v="0"/>
    <s v="3-4 veces por semana"/>
    <s v="7 a 9"/>
    <x v="0"/>
    <x v="0"/>
    <x v="1"/>
  </r>
  <r>
    <s v="Contaduría Pública"/>
    <s v="7-8"/>
    <x v="1"/>
    <x v="1"/>
    <x v="0"/>
    <x v="0"/>
    <x v="1"/>
    <s v="1-2 veces por semana"/>
    <s v="Más de 9"/>
    <x v="3"/>
    <x v="2"/>
    <x v="0"/>
  </r>
  <r>
    <s v="Ingeniería de Sistemas"/>
    <s v="3-4"/>
    <x v="0"/>
    <x v="0"/>
    <x v="1"/>
    <x v="1"/>
    <x v="4"/>
    <s v="5 o más veces por semana"/>
    <s v="7 a 9"/>
    <x v="1"/>
    <x v="1"/>
    <x v="3"/>
  </r>
  <r>
    <s v="Ingeniería Industrial"/>
    <s v="9 o más"/>
    <x v="3"/>
    <x v="1"/>
    <x v="0"/>
    <x v="2"/>
    <x v="0"/>
    <s v="1-2 veces por semana"/>
    <s v="Más de 9"/>
    <x v="2"/>
    <x v="2"/>
    <x v="2"/>
  </r>
  <r>
    <s v="Otra"/>
    <s v="3-4"/>
    <x v="0"/>
    <x v="0"/>
    <x v="1"/>
    <x v="0"/>
    <x v="5"/>
    <s v="3-4 veces por semana"/>
    <s v="4 a 6"/>
    <x v="0"/>
    <x v="0"/>
    <x v="0"/>
  </r>
  <r>
    <s v="Administración de Negocios Internacionales"/>
    <s v="5-6"/>
    <x v="1"/>
    <x v="1"/>
    <x v="1"/>
    <x v="1"/>
    <x v="1"/>
    <s v="5 o más veces por semana"/>
    <s v="7 a 9"/>
    <x v="1"/>
    <x v="1"/>
    <x v="3"/>
  </r>
  <r>
    <s v="Ingeniería Informática"/>
    <s v="7-8"/>
    <x v="1"/>
    <x v="0"/>
    <x v="0"/>
    <x v="2"/>
    <x v="2"/>
    <s v="1-2 veces por semana"/>
    <s v="7 a 9"/>
    <x v="2"/>
    <x v="2"/>
    <x v="2"/>
  </r>
  <r>
    <s v="Psicología"/>
    <s v="1-2"/>
    <x v="2"/>
    <x v="0"/>
    <x v="1"/>
    <x v="0"/>
    <x v="0"/>
    <s v="3-4 veces por semana"/>
    <s v="4 a 6"/>
    <x v="0"/>
    <x v="1"/>
    <x v="1"/>
  </r>
  <r>
    <s v="Ingeniería Electrónica"/>
    <s v="5-6"/>
    <x v="1"/>
    <x v="1"/>
    <x v="2"/>
    <x v="3"/>
    <x v="4"/>
    <s v="Nunca"/>
    <s v="Más de 9"/>
    <x v="4"/>
    <x v="3"/>
    <x v="4"/>
  </r>
  <r>
    <s v="Administración de Empresas"/>
    <s v="7-8"/>
    <x v="1"/>
    <x v="0"/>
    <x v="0"/>
    <x v="0"/>
    <x v="0"/>
    <s v="3-4 veces por semana"/>
    <s v="7 a 9"/>
    <x v="3"/>
    <x v="0"/>
    <x v="0"/>
  </r>
  <r>
    <s v="Tecnología en Gestión de Redes"/>
    <s v="1-2"/>
    <x v="0"/>
    <x v="1"/>
    <x v="1"/>
    <x v="1"/>
    <x v="1"/>
    <s v="5 o más veces por semana"/>
    <s v="4 a 6"/>
    <x v="1"/>
    <x v="1"/>
    <x v="3"/>
  </r>
  <r>
    <s v="Derecho"/>
    <s v="3-4"/>
    <x v="0"/>
    <x v="0"/>
    <x v="0"/>
    <x v="2"/>
    <x v="2"/>
    <s v="1-2 veces por semana"/>
    <s v="7 a 9"/>
    <x v="2"/>
    <x v="2"/>
    <x v="2"/>
  </r>
  <r>
    <s v="Ingeniería de Sistemas"/>
    <s v="5-6"/>
    <x v="1"/>
    <x v="1"/>
    <x v="1"/>
    <x v="0"/>
    <x v="3"/>
    <s v="3-4 veces por semana"/>
    <s v="7 a 9"/>
    <x v="0"/>
    <x v="0"/>
    <x v="0"/>
  </r>
  <r>
    <s v="Contaduría Pública"/>
    <s v="9 o más"/>
    <x v="3"/>
    <x v="0"/>
    <x v="0"/>
    <x v="0"/>
    <x v="0"/>
    <s v="1-2 veces por semana"/>
    <s v="Más de 9"/>
    <x v="3"/>
    <x v="2"/>
    <x v="2"/>
  </r>
  <r>
    <s v="Ingeniería Industrial"/>
    <s v="3-4"/>
    <x v="0"/>
    <x v="1"/>
    <x v="1"/>
    <x v="1"/>
    <x v="1"/>
    <s v="5 o más veces por semana"/>
    <s v="4 a 6"/>
    <x v="1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59A65-F01A-40A9-BAE8-7DC429732E92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">
  <location ref="A46:C56" firstHeaderRow="0" firstDataRow="1" firstDataCol="1"/>
  <pivotFields count="12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3"/>
    <field x="5"/>
  </rowFields>
  <rowItems count="1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" fld="5" subtotal="count" baseField="0" baseItem="0"/>
    <dataField name="h (%)" fld="5" subtotal="count" showDataAs="percentOfTotal" baseField="3" baseItem="0" numFmtId="10"/>
  </dataFields>
  <formats count="55">
    <format dxfId="3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1">
            <x v="0"/>
          </reference>
        </references>
      </pivotArea>
    </format>
    <format dxfId="5">
      <pivotArea collapsedLevelsAreSubtotals="1" fieldPosition="0">
        <references count="1">
          <reference field="3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collapsedLevelsAreSubtotals="1" fieldPosition="0">
        <references count="1">
          <reference field="3" count="1">
            <x v="1"/>
          </reference>
        </references>
      </pivotArea>
    </format>
    <format dxfId="9">
      <pivotArea dataOnly="0" labelOnly="1" fieldPosition="0">
        <references count="1">
          <reference field="3" count="1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labelOnly="1" fieldPosition="0">
        <references count="1">
          <reference field="3" count="0"/>
        </references>
      </pivotArea>
    </format>
    <format dxfId="13">
      <pivotArea dataOnly="0" labelOnly="1" grandRow="1" outline="0" fieldPosition="0"/>
    </format>
    <format dxfId="14">
      <pivotArea dataOnly="0" labelOnly="1" fieldPosition="0">
        <references count="2">
          <reference field="3" count="1" selected="0">
            <x v="0"/>
          </reference>
          <reference field="5" count="3">
            <x v="0"/>
            <x v="1"/>
            <x v="2"/>
          </reference>
        </references>
      </pivotArea>
    </format>
    <format dxfId="15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  <format dxfId="16">
      <pivotArea grandRow="1" outline="0" collapsedLevelsAreSubtotals="1" fieldPosition="0"/>
    </format>
    <format dxfId="17">
      <pivotArea dataOnly="0" labelOnly="1" grandRow="1" outline="0" fieldPosition="0"/>
    </format>
    <format dxfId="18">
      <pivotArea collapsedLevelsAreSubtotals="1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5" count="3">
            <x v="0"/>
            <x v="1"/>
            <x v="2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1"/>
          </reference>
          <reference field="3" count="1">
            <x v="1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5" count="0"/>
        </references>
      </pivotArea>
    </format>
    <format dxfId="21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fieldPosition="0">
        <references count="1">
          <reference field="3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/>
    </format>
    <format dxfId="26">
      <pivotArea dataOnly="0" labelOnly="1" fieldPosition="0">
        <references count="1">
          <reference field="3" count="0"/>
        </references>
      </pivotArea>
    </format>
    <format dxfId="27">
      <pivotArea dataOnly="0" labelOnly="1" grandRow="1" outline="0" fieldPosition="0"/>
    </format>
    <format dxfId="28">
      <pivotArea dataOnly="0" labelOnly="1" fieldPosition="0">
        <references count="2">
          <reference field="3" count="1" selected="0">
            <x v="0"/>
          </reference>
          <reference field="5" count="3">
            <x v="0"/>
            <x v="1"/>
            <x v="2"/>
          </reference>
        </references>
      </pivotArea>
    </format>
    <format dxfId="29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  <format dxfId="30">
      <pivotArea collapsedLevelsAreSubtotals="1" fieldPosition="0">
        <references count="1">
          <reference field="3" count="1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collapsedLevelsAreSubtotals="1" fieldPosition="0">
        <references count="1">
          <reference field="3" count="1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6">
      <pivotArea dataOnly="0" labelOnly="1" fieldPosition="0">
        <references count="2">
          <reference field="3" count="1" selected="0">
            <x v="0"/>
          </reference>
          <reference field="5" count="3">
            <x v="0"/>
            <x v="1"/>
            <x v="2"/>
          </reference>
        </references>
      </pivotArea>
    </format>
    <format dxfId="37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  <format dxfId="38">
      <pivotArea collapsedLevelsAreSubtotals="1" fieldPosition="0">
        <references count="2">
          <reference field="3" count="1" selected="0">
            <x v="0"/>
          </reference>
          <reference field="5" count="3">
            <x v="0"/>
            <x v="1"/>
            <x v="2"/>
          </reference>
        </references>
      </pivotArea>
    </format>
    <format dxfId="39">
      <pivotArea collapsedLevelsAreSubtotals="1" fieldPosition="0">
        <references count="1">
          <reference field="3" count="1">
            <x v="1"/>
          </reference>
        </references>
      </pivotArea>
    </format>
    <format dxfId="40">
      <pivotArea collapsedLevelsAreSubtotals="1" fieldPosition="0">
        <references count="2">
          <reference field="3" count="1" selected="0">
            <x v="1"/>
          </reference>
          <reference field="5" count="0"/>
        </references>
      </pivotArea>
    </format>
    <format dxfId="41">
      <pivotArea grandRow="1" outline="0" collapsedLevelsAreSubtotals="1" fieldPosition="0"/>
    </format>
    <format dxfId="42">
      <pivotArea collapsedLevelsAreSubtotals="1" fieldPosition="0">
        <references count="1">
          <reference field="3" count="1">
            <x v="0"/>
          </reference>
        </references>
      </pivotArea>
    </format>
    <format dxfId="43">
      <pivotArea dataOnly="0" labelOnly="1" fieldPosition="0">
        <references count="1">
          <reference field="3" count="1">
            <x v="0"/>
          </reference>
        </references>
      </pivotArea>
    </format>
    <format dxfId="44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6">
      <pivotArea dataOnly="0" labelOnly="1" fieldPosition="0">
        <references count="2">
          <reference field="3" count="1" selected="0">
            <x v="0"/>
          </reference>
          <reference field="5" count="3">
            <x v="0"/>
            <x v="1"/>
            <x v="2"/>
          </reference>
        </references>
      </pivotArea>
    </format>
    <format dxfId="47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  <format dxfId="48">
      <pivotArea dataOnly="0" labelOnly="1" fieldPosition="0">
        <references count="1">
          <reference field="3" count="1">
            <x v="1"/>
          </reference>
        </references>
      </pivotArea>
    </format>
    <format dxfId="49">
      <pivotArea dataOnly="0" labelOnly="1" grandRow="1" outline="0" fieldPosition="0"/>
    </format>
    <format dxfId="50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fieldPosition="0">
        <references count="1">
          <reference field="3" count="1">
            <x v="1"/>
          </reference>
        </references>
      </pivotArea>
    </format>
    <format dxfId="1">
      <pivotArea dataOnly="0" labelOnly="1" fieldPosition="0">
        <references count="2">
          <reference field="3" count="1" selected="0">
            <x v="0"/>
          </reference>
          <reference field="5" count="3">
            <x v="0"/>
            <x v="1"/>
            <x v="2"/>
          </reference>
        </references>
      </pivotArea>
    </format>
    <format dxfId="0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F9EBE-DB3A-4B6D-93F5-AA2803825C0A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¿Cómo calificas tu nivel de estrés?">
  <location ref="A60:C65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2"/>
        <item x="3"/>
        <item x="0"/>
        <item x="1"/>
        <item x="5"/>
        <item t="default"/>
      </items>
    </pivotField>
    <pivotField axis="axisRow" dataField="1" showAll="0">
      <items count="5">
        <item x="2"/>
        <item x="1"/>
        <item x="0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" fld="10" subtotal="count" baseField="0" baseItem="0"/>
    <dataField name="h (%)" fld="10" subtotal="count" showDataAs="percentOfTotal" baseField="10" baseItem="0" numFmtId="10"/>
  </dataFields>
  <formats count="40">
    <format dxfId="166">
      <pivotArea outline="0" collapsedLevelsAreSubtotals="1" fieldPosition="0"/>
    </format>
    <format dxfId="165">
      <pivotArea dataOnly="0" labelOnly="1" fieldPosition="0">
        <references count="1">
          <reference field="10" count="0"/>
        </references>
      </pivotArea>
    </format>
    <format dxfId="164">
      <pivotArea dataOnly="0" labelOnly="1" grandRow="1" outline="0" fieldPosition="0"/>
    </format>
    <format dxfId="163">
      <pivotArea outline="0" collapsedLevelsAreSubtotals="1" fieldPosition="0"/>
    </format>
    <format dxfId="162">
      <pivotArea dataOnly="0" labelOnly="1" fieldPosition="0">
        <references count="1">
          <reference field="10" count="0"/>
        </references>
      </pivotArea>
    </format>
    <format dxfId="161">
      <pivotArea dataOnly="0" labelOnly="1" grandRow="1" outline="0" fieldPosition="0"/>
    </format>
    <format dxfId="160">
      <pivotArea dataOnly="0" labelOnly="1" outline="0" axis="axisValues" fieldPosition="0"/>
    </format>
    <format dxfId="159">
      <pivotArea dataOnly="0" labelOnly="1" outline="0" axis="axisValues" fieldPosition="0"/>
    </format>
    <format dxfId="158">
      <pivotArea field="10" type="button" dataOnly="0" labelOnly="1" outline="0" axis="axisRow" fieldPosition="0"/>
    </format>
    <format dxfId="157">
      <pivotArea field="10" type="button" dataOnly="0" labelOnly="1" outline="0" axis="axisRow" fieldPosition="0"/>
    </format>
    <format dxfId="156">
      <pivotArea outline="0" fieldPosition="0">
        <references count="1">
          <reference field="4294967294" count="1">
            <x v="1"/>
          </reference>
        </references>
      </pivotArea>
    </format>
    <format dxfId="1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1">
      <pivotArea field="10" type="button" dataOnly="0" labelOnly="1" outline="0" axis="axisRow" fieldPosition="0"/>
    </format>
    <format dxfId="150">
      <pivotArea dataOnly="0" labelOnly="1" fieldPosition="0">
        <references count="1">
          <reference field="10" count="0"/>
        </references>
      </pivotArea>
    </format>
    <format dxfId="149">
      <pivotArea dataOnly="0" labelOnly="1" grandRow="1" outline="0" fieldPosition="0"/>
    </format>
    <format dxfId="1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7">
      <pivotArea field="10" type="button" dataOnly="0" labelOnly="1" outline="0" axis="axisRow" fieldPosition="0"/>
    </format>
    <format dxfId="146">
      <pivotArea dataOnly="0" labelOnly="1" fieldPosition="0">
        <references count="1">
          <reference field="10" count="0"/>
        </references>
      </pivotArea>
    </format>
    <format dxfId="145">
      <pivotArea dataOnly="0" labelOnly="1" grandRow="1" outline="0" fieldPosition="0"/>
    </format>
    <format dxfId="144">
      <pivotArea grandRow="1" outline="0" collapsedLevelsAreSubtotals="1" fieldPosition="0"/>
    </format>
    <format dxfId="143">
      <pivotArea dataOnly="0" labelOnly="1" grandRow="1" outline="0" fieldPosition="0"/>
    </format>
    <format dxfId="142">
      <pivotArea field="10" type="button" dataOnly="0" labelOnly="1" outline="0" axis="axisRow" fieldPosition="0"/>
    </format>
    <format dxfId="1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0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1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8">
      <pivotArea outline="0" collapsedLevelsAreSubtotals="1" fieldPosition="0"/>
    </format>
    <format dxfId="137">
      <pivotArea field="10" type="button" dataOnly="0" labelOnly="1" outline="0" axis="axisRow" fieldPosition="0"/>
    </format>
    <format dxfId="136">
      <pivotArea dataOnly="0" labelOnly="1" fieldPosition="0">
        <references count="1">
          <reference field="10" count="0"/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field="10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">
      <pivotArea field="10" type="button" dataOnly="0" labelOnly="1" outline="0" axis="axisRow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dataOnly="0" labelOnly="1" fieldPosition="0">
        <references count="1">
          <reference field="10" count="0"/>
        </references>
      </pivotArea>
    </format>
    <format dxfId="66">
      <pivotArea dataOnly="0" labelOnly="1" grandRow="1" outline="0" fieldPosition="0"/>
    </format>
    <format dxfId="65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EDDAA-45A6-4784-A05A-4DAD2DB0C5A3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enero &amp; Edad">
  <location ref="A32:C42" firstHeaderRow="0" firstDataRow="1" firstDataCol="1"/>
  <pivotFields count="12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" fld="3" subtotal="count" baseField="0" baseItem="0"/>
    <dataField name="h(%)" fld="3" subtotal="count" showDataAs="percentOfTotal" baseField="3" baseItem="0" numFmtId="10"/>
  </dataFields>
  <formats count="65">
    <format dxfId="220">
      <pivotArea collapsedLevelsAreSubtotals="1" fieldPosition="0">
        <references count="1">
          <reference field="3" count="1">
            <x v="0"/>
          </reference>
        </references>
      </pivotArea>
    </format>
    <format dxfId="219">
      <pivotArea collapsedLevelsAreSubtotals="1" fieldPosition="0">
        <references count="2">
          <reference field="2" count="0"/>
          <reference field="3" count="1" selected="0">
            <x v="0"/>
          </reference>
        </references>
      </pivotArea>
    </format>
    <format dxfId="218">
      <pivotArea dataOnly="0" labelOnly="1" outline="0" axis="axisValues" fieldPosition="0"/>
    </format>
    <format dxfId="217">
      <pivotArea outline="0" collapsedLevelsAreSubtotals="1" fieldPosition="0"/>
    </format>
    <format dxfId="216">
      <pivotArea dataOnly="0" labelOnly="1" fieldPosition="0">
        <references count="1">
          <reference field="3" count="0"/>
        </references>
      </pivotArea>
    </format>
    <format dxfId="215">
      <pivotArea dataOnly="0" labelOnly="1" grandRow="1" outline="0" fieldPosition="0"/>
    </format>
    <format dxfId="214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213">
      <pivotArea dataOnly="0" labelOnly="1" fieldPosition="0">
        <references count="2">
          <reference field="2" count="3">
            <x v="1"/>
            <x v="2"/>
            <x v="3"/>
          </reference>
          <reference field="3" count="1" selected="0">
            <x v="1"/>
          </reference>
        </references>
      </pivotArea>
    </format>
    <format dxfId="212">
      <pivotArea outline="0" collapsedLevelsAreSubtotals="1" fieldPosition="0"/>
    </format>
    <format dxfId="211">
      <pivotArea dataOnly="0" labelOnly="1" fieldPosition="0">
        <references count="1">
          <reference field="3" count="0"/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208">
      <pivotArea dataOnly="0" labelOnly="1" fieldPosition="0">
        <references count="2">
          <reference field="2" count="3">
            <x v="1"/>
            <x v="2"/>
            <x v="3"/>
          </reference>
          <reference field="3" count="1" selected="0">
            <x v="1"/>
          </reference>
        </references>
      </pivotArea>
    </format>
    <format dxfId="207">
      <pivotArea field="3" type="button" dataOnly="0" labelOnly="1" outline="0" axis="axisRow" fieldPosition="0"/>
    </format>
    <format dxfId="206">
      <pivotArea field="3" type="button" dataOnly="0" labelOnly="1" outline="0" axis="axisRow" fieldPosition="0"/>
    </format>
    <format dxfId="205">
      <pivotArea dataOnly="0" labelOnly="1" fieldPosition="0">
        <references count="1">
          <reference field="3" count="1">
            <x v="0"/>
          </reference>
        </references>
      </pivotArea>
    </format>
    <format dxfId="204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203">
      <pivotArea collapsedLevelsAreSubtotals="1" fieldPosition="0">
        <references count="1">
          <reference field="3" count="1">
            <x v="1"/>
          </reference>
        </references>
      </pivotArea>
    </format>
    <format dxfId="202">
      <pivotArea dataOnly="0" labelOnly="1" fieldPosition="0">
        <references count="1">
          <reference field="3" count="1">
            <x v="1"/>
          </reference>
        </references>
      </pivotArea>
    </format>
    <format dxfId="201">
      <pivotArea outline="0" fieldPosition="0">
        <references count="1">
          <reference field="4294967294" count="1">
            <x v="1"/>
          </reference>
        </references>
      </pivotArea>
    </format>
    <format dxfId="2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6">
      <pivotArea dataOnly="0" labelOnly="1" fieldPosition="0">
        <references count="1">
          <reference field="3" count="0"/>
        </references>
      </pivotArea>
    </format>
    <format dxfId="195">
      <pivotArea dataOnly="0" labelOnly="1" grandRow="1" outline="0" fieldPosition="0"/>
    </format>
    <format dxfId="194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193">
      <pivotArea dataOnly="0" labelOnly="1" fieldPosition="0">
        <references count="2">
          <reference field="2" count="3">
            <x v="1"/>
            <x v="2"/>
            <x v="3"/>
          </reference>
          <reference field="3" count="1" selected="0">
            <x v="1"/>
          </reference>
        </references>
      </pivotArea>
    </format>
    <format dxfId="192">
      <pivotArea field="3" type="button" dataOnly="0" labelOnly="1" outline="0" axis="axisRow" fieldPosition="0"/>
    </format>
    <format dxfId="1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0">
      <pivotArea field="3" type="button" dataOnly="0" labelOnly="1" outline="0" axis="axisRow" fieldPosition="0"/>
    </format>
    <format dxfId="189">
      <pivotArea dataOnly="0" labelOnly="1" fieldPosition="0">
        <references count="1">
          <reference field="3" count="0"/>
        </references>
      </pivotArea>
    </format>
    <format dxfId="188">
      <pivotArea dataOnly="0" labelOnly="1" grandRow="1" outline="0" fieldPosition="0"/>
    </format>
    <format dxfId="187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186">
      <pivotArea dataOnly="0" labelOnly="1" fieldPosition="0">
        <references count="2">
          <reference field="2" count="3">
            <x v="1"/>
            <x v="2"/>
            <x v="3"/>
          </reference>
          <reference field="3" count="1" selected="0">
            <x v="1"/>
          </reference>
        </references>
      </pivotArea>
    </format>
    <format dxfId="185">
      <pivotArea field="3" type="button" dataOnly="0" labelOnly="1" outline="0" axis="axisRow" fieldPosition="0"/>
    </format>
    <format dxfId="1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">
      <pivotArea collapsedLevelsAreSubtotals="1" fieldPosition="0">
        <references count="1">
          <reference field="3" count="1">
            <x v="0"/>
          </reference>
        </references>
      </pivotArea>
    </format>
    <format dxfId="182">
      <pivotArea dataOnly="0" labelOnly="1" fieldPosition="0">
        <references count="1">
          <reference field="3" count="1">
            <x v="0"/>
          </reference>
        </references>
      </pivotArea>
    </format>
    <format dxfId="181">
      <pivotArea collapsedLevelsAreSubtotals="1" fieldPosition="0">
        <references count="1">
          <reference field="3" count="1">
            <x v="1"/>
          </reference>
        </references>
      </pivotArea>
    </format>
    <format dxfId="180">
      <pivotArea dataOnly="0" labelOnly="1" fieldPosition="0">
        <references count="1">
          <reference field="3" count="1">
            <x v="1"/>
          </reference>
        </references>
      </pivotArea>
    </format>
    <format dxfId="179">
      <pivotArea grandRow="1" outline="0" collapsedLevelsAreSubtotals="1" fieldPosition="0"/>
    </format>
    <format dxfId="178">
      <pivotArea dataOnly="0" labelOnly="1" grandRow="1" outline="0" fieldPosition="0"/>
    </format>
    <format dxfId="1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3">
      <pivotArea outline="0" collapsedLevelsAreSubtotals="1" fieldPosition="0"/>
    </format>
    <format dxfId="172">
      <pivotArea field="3" type="button" dataOnly="0" labelOnly="1" outline="0" axis="axisRow" fieldPosition="0"/>
    </format>
    <format dxfId="171">
      <pivotArea dataOnly="0" labelOnly="1" fieldPosition="0">
        <references count="1">
          <reference field="3" count="0"/>
        </references>
      </pivotArea>
    </format>
    <format dxfId="170">
      <pivotArea dataOnly="0" labelOnly="1" grandRow="1" outline="0" fieldPosition="0"/>
    </format>
    <format dxfId="169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168">
      <pivotArea dataOnly="0" labelOnly="1" fieldPosition="0">
        <references count="2">
          <reference field="2" count="3">
            <x v="1"/>
            <x v="2"/>
            <x v="3"/>
          </reference>
          <reference field="3" count="1" selected="0">
            <x v="1"/>
          </reference>
        </references>
      </pivotArea>
    </format>
    <format dxfId="1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dataOnly="0" labelOnly="1" fieldPosition="0">
        <references count="1">
          <reference field="3" count="0"/>
        </references>
      </pivotArea>
    </format>
    <format dxfId="81">
      <pivotArea dataOnly="0" labelOnly="1" grandRow="1" outline="0" fieldPosition="0"/>
    </format>
    <format dxfId="80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79">
      <pivotArea dataOnly="0" labelOnly="1" fieldPosition="0">
        <references count="2">
          <reference field="2" count="3">
            <x v="1"/>
            <x v="2"/>
            <x v="3"/>
          </reference>
          <reference field="3" count="1" selected="0">
            <x v="1"/>
          </reference>
        </references>
      </pivotArea>
    </format>
    <format dxfId="78">
      <pivotArea field="3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field="3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dataOnly="0" labelOnly="1" fieldPosition="0">
        <references count="1">
          <reference field="3" count="1">
            <x v="0"/>
          </reference>
        </references>
      </pivotArea>
    </format>
    <format dxfId="73">
      <pivotArea dataOnly="0" labelOnly="1" fieldPosition="0">
        <references count="1">
          <reference field="3" count="1">
            <x v="1"/>
          </reference>
        </references>
      </pivotArea>
    </format>
    <format dxfId="72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3AE66-6788-4966-9C47-3EF5710E8BD5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Horas promedio de sueño al día">
  <location ref="A14:C18" firstHeaderRow="0" firstDataRow="1" firstDataCol="1"/>
  <pivotFields count="12"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" fld="4" subtotal="count" baseField="0" baseItem="0"/>
    <dataField name="h (%)" fld="4" subtotal="count" showDataAs="percentOfTotal" baseField="4" baseItem="0" numFmtId="10"/>
  </dataFields>
  <formats count="45">
    <format dxfId="2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6">
      <pivotArea outline="0" collapsedLevelsAreSubtotals="1" fieldPosition="0"/>
    </format>
    <format dxfId="255">
      <pivotArea dataOnly="0" labelOnly="1" fieldPosition="0">
        <references count="1">
          <reference field="4" count="0"/>
        </references>
      </pivotArea>
    </format>
    <format dxfId="254">
      <pivotArea dataOnly="0" labelOnly="1" grandRow="1" outline="0" fieldPosition="0"/>
    </format>
    <format dxfId="253">
      <pivotArea outline="0" collapsedLevelsAreSubtotals="1" fieldPosition="0"/>
    </format>
    <format dxfId="252">
      <pivotArea dataOnly="0" labelOnly="1" fieldPosition="0">
        <references count="1">
          <reference field="4" count="0"/>
        </references>
      </pivotArea>
    </format>
    <format dxfId="251">
      <pivotArea dataOnly="0" labelOnly="1" grandRow="1" outline="0" fieldPosition="0"/>
    </format>
    <format dxfId="250">
      <pivotArea dataOnly="0" outline="0" fieldPosition="0">
        <references count="1">
          <reference field="4294967294" count="1">
            <x v="0"/>
          </reference>
        </references>
      </pivotArea>
    </format>
    <format dxfId="249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7">
      <pivotArea dataOnly="0" labelOnly="1" fieldPosition="0">
        <references count="1">
          <reference field="4" count="0"/>
        </references>
      </pivotArea>
    </format>
    <format dxfId="246">
      <pivotArea dataOnly="0" labelOnly="1" grandRow="1" outline="0" fieldPosition="0"/>
    </format>
    <format dxfId="245">
      <pivotArea field="4" type="button" dataOnly="0" labelOnly="1" outline="0" axis="axisRow" fieldPosition="0"/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3">
      <pivotArea field="4" type="button" dataOnly="0" labelOnly="1" outline="0" axis="axisRow" fieldPosition="0"/>
    </format>
    <format dxfId="242">
      <pivotArea dataOnly="0" labelOnly="1" fieldPosition="0">
        <references count="1">
          <reference field="4" count="0"/>
        </references>
      </pivotArea>
    </format>
    <format dxfId="241">
      <pivotArea dataOnly="0" labelOnly="1" grandRow="1" outline="0" fieldPosition="0"/>
    </format>
    <format dxfId="240">
      <pivotArea field="4" type="button" dataOnly="0" labelOnly="1" outline="0" axis="axisRow" fieldPosition="0"/>
    </format>
    <format dxfId="2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8">
      <pivotArea grandRow="1" outline="0" collapsedLevelsAreSubtotals="1" fieldPosition="0"/>
    </format>
    <format dxfId="237">
      <pivotArea dataOnly="0" labelOnly="1" grandRow="1" outline="0" fieldPosition="0"/>
    </format>
    <format dxfId="2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2">
      <pivotArea outline="0" collapsedLevelsAreSubtotals="1" fieldPosition="0"/>
    </format>
    <format dxfId="2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0">
      <pivotArea field="4" type="button" dataOnly="0" labelOnly="1" outline="0" axis="axisRow" fieldPosition="0"/>
    </format>
    <format dxfId="229">
      <pivotArea dataOnly="0" labelOnly="1" fieldPosition="0">
        <references count="1">
          <reference field="4" count="0"/>
        </references>
      </pivotArea>
    </format>
    <format dxfId="228">
      <pivotArea dataOnly="0" labelOnly="1" grandRow="1" outline="0" fieldPosition="0"/>
    </format>
    <format dxfId="2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6">
      <pivotArea field="4" type="button" dataOnly="0" labelOnly="1" outline="0" axis="axisRow" fieldPosition="0"/>
    </format>
    <format dxfId="225">
      <pivotArea dataOnly="0" labelOnly="1" fieldPosition="0">
        <references count="1">
          <reference field="4" count="0"/>
        </references>
      </pivotArea>
    </format>
    <format dxfId="224">
      <pivotArea dataOnly="0" labelOnly="1" grandRow="1" outline="0" fieldPosition="0"/>
    </format>
    <format dxfId="223">
      <pivotArea field="4" type="button" dataOnly="0" labelOnly="1" outline="0" axis="axisRow" fieldPosition="0"/>
    </format>
    <format dxfId="222">
      <pivotArea dataOnly="0" labelOnly="1" fieldPosition="0">
        <references count="1">
          <reference field="4" count="0"/>
        </references>
      </pivotArea>
    </format>
    <format dxfId="221">
      <pivotArea dataOnly="0" labelOnly="1" grandRow="1" outline="0" fieldPosition="0"/>
    </format>
    <format dxfId="105">
      <pivotArea field="4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field="4" type="button" dataOnly="0" labelOnly="1" outline="0" axis="axisRow" fieldPosition="0"/>
    </format>
    <format dxfId="101">
      <pivotArea dataOnly="0" labelOnly="1" fieldPosition="0">
        <references count="1">
          <reference field="4" count="0"/>
        </references>
      </pivotArea>
    </format>
    <format dxfId="100">
      <pivotArea dataOnly="0" labelOnly="1" grandRow="1" outline="0" fieldPosition="0"/>
    </format>
    <format dxfId="9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F8FF4-DE2A-421F-B494-59CF4FCCB721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Horas promedio de uso de celular" colHeaderCaption="Horas promedio de sueño al dia">
  <location ref="A22:E28" firstHeaderRow="1" firstDataRow="2" firstDataCol="1"/>
  <pivotFields count="12"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axis="axisCol" dataField="1" showAll="0">
      <items count="4">
        <item x="0"/>
        <item x="1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-" fld="4" subtotal="count" baseField="0" baseItem="0"/>
  </dataFields>
  <formats count="61">
    <format dxfId="299">
      <pivotArea outline="0" collapsedLevelsAreSubtotals="1" fieldPosition="0"/>
    </format>
    <format dxfId="298">
      <pivotArea outline="0" collapsedLevelsAreSubtotals="1" fieldPosition="0"/>
    </format>
    <format dxfId="297">
      <pivotArea dataOnly="0" labelOnly="1" fieldPosition="0">
        <references count="1">
          <reference field="4" count="0"/>
        </references>
      </pivotArea>
    </format>
    <format dxfId="296">
      <pivotArea dataOnly="0" labelOnly="1" grandCol="1" outline="0" fieldPosition="0"/>
    </format>
    <format dxfId="295">
      <pivotArea outline="0" collapsedLevelsAreSubtotals="1" fieldPosition="0">
        <references count="1">
          <reference field="4" count="1" selected="0">
            <x v="0"/>
          </reference>
        </references>
      </pivotArea>
    </format>
    <format dxfId="294">
      <pivotArea dataOnly="0" labelOnly="1" fieldPosition="0">
        <references count="1">
          <reference field="4" count="1">
            <x v="0"/>
          </reference>
        </references>
      </pivotArea>
    </format>
    <format dxfId="293">
      <pivotArea dataOnly="0" labelOnly="1" fieldPosition="0">
        <references count="1">
          <reference field="5" count="0"/>
        </references>
      </pivotArea>
    </format>
    <format dxfId="292">
      <pivotArea dataOnly="0" labelOnly="1" grandRow="1" outline="0" fieldPosition="0"/>
    </format>
    <format dxfId="291">
      <pivotArea field="5" type="button" dataOnly="0" labelOnly="1" outline="0" axis="axisRow" fieldPosition="0"/>
    </format>
    <format dxfId="290">
      <pivotArea field="5" type="button" dataOnly="0" labelOnly="1" outline="0" axis="axisRow" fieldPosition="0"/>
    </format>
    <format dxfId="289">
      <pivotArea dataOnly="0" labelOnly="1" fieldPosition="0">
        <references count="1">
          <reference field="5" count="0"/>
        </references>
      </pivotArea>
    </format>
    <format dxfId="288">
      <pivotArea dataOnly="0" labelOnly="1" grandRow="1" outline="0" fieldPosition="0"/>
    </format>
    <format dxfId="287">
      <pivotArea field="4" type="button" dataOnly="0" labelOnly="1" outline="0" axis="axisCol" fieldPosition="0"/>
    </format>
    <format dxfId="286">
      <pivotArea type="topRight" dataOnly="0" labelOnly="1" outline="0" fieldPosition="0"/>
    </format>
    <format dxfId="285">
      <pivotArea dataOnly="0" labelOnly="1" fieldPosition="0">
        <references count="1">
          <reference field="4" count="0"/>
        </references>
      </pivotArea>
    </format>
    <format dxfId="284">
      <pivotArea dataOnly="0" labelOnly="1" grandCol="1" outline="0" fieldPosition="0"/>
    </format>
    <format dxfId="283">
      <pivotArea field="5" type="button" dataOnly="0" labelOnly="1" outline="0" axis="axisRow" fieldPosition="0"/>
    </format>
    <format dxfId="282">
      <pivotArea dataOnly="0" labelOnly="1" fieldPosition="0">
        <references count="1">
          <reference field="5" count="0"/>
        </references>
      </pivotArea>
    </format>
    <format dxfId="281">
      <pivotArea dataOnly="0" labelOnly="1" grandRow="1" outline="0" fieldPosition="0"/>
    </format>
    <format dxfId="280">
      <pivotArea outline="0" collapsedLevelsAreSubtotals="1" fieldPosition="0">
        <references count="1">
          <reference field="4" count="1" selected="0">
            <x v="0"/>
          </reference>
        </references>
      </pivotArea>
    </format>
    <format dxfId="279">
      <pivotArea dataOnly="0" labelOnly="1" fieldPosition="0">
        <references count="1">
          <reference field="4" count="1">
            <x v="0"/>
          </reference>
        </references>
      </pivotArea>
    </format>
    <format dxfId="278">
      <pivotArea outline="0" collapsedLevelsAreSubtotals="1" fieldPosition="0">
        <references count="1">
          <reference field="4" count="1" selected="0">
            <x v="1"/>
          </reference>
        </references>
      </pivotArea>
    </format>
    <format dxfId="277">
      <pivotArea dataOnly="0" labelOnly="1" fieldPosition="0">
        <references count="1">
          <reference field="4" count="1">
            <x v="1"/>
          </reference>
        </references>
      </pivotArea>
    </format>
    <format dxfId="276">
      <pivotArea outline="0" collapsedLevelsAreSubtotals="1" fieldPosition="0">
        <references count="1">
          <reference field="4" count="1" selected="0">
            <x v="2"/>
          </reference>
        </references>
      </pivotArea>
    </format>
    <format dxfId="275">
      <pivotArea dataOnly="0" labelOnly="1" fieldPosition="0">
        <references count="1">
          <reference field="4" count="1">
            <x v="2"/>
          </reference>
        </references>
      </pivotArea>
    </format>
    <format dxfId="274">
      <pivotArea grandCol="1" outline="0" collapsedLevelsAreSubtotals="1" fieldPosition="0"/>
    </format>
    <format dxfId="273">
      <pivotArea dataOnly="0" labelOnly="1" grandCol="1" outline="0" fieldPosition="0"/>
    </format>
    <format dxfId="272">
      <pivotArea field="5" type="button" dataOnly="0" labelOnly="1" outline="0" axis="axisRow" fieldPosition="0"/>
    </format>
    <format dxfId="271">
      <pivotArea dataOnly="0" labelOnly="1" fieldPosition="0">
        <references count="1">
          <reference field="4" count="0"/>
        </references>
      </pivotArea>
    </format>
    <format dxfId="270">
      <pivotArea dataOnly="0" labelOnly="1" grandCol="1" outline="0" fieldPosition="0"/>
    </format>
    <format dxfId="269">
      <pivotArea grandRow="1" outline="0" collapsedLevelsAreSubtotals="1" fieldPosition="0"/>
    </format>
    <format dxfId="268">
      <pivotArea dataOnly="0" labelOnly="1" grandRow="1" outline="0" fieldPosition="0"/>
    </format>
    <format dxfId="267">
      <pivotArea field="4" type="button" dataOnly="0" labelOnly="1" outline="0" axis="axisCol" fieldPosition="0"/>
    </format>
    <format dxfId="266">
      <pivotArea outline="0" collapsedLevelsAreSubtotals="1" fieldPosition="0"/>
    </format>
    <format dxfId="265">
      <pivotArea field="5" type="button" dataOnly="0" labelOnly="1" outline="0" axis="axisRow" fieldPosition="0"/>
    </format>
    <format dxfId="264">
      <pivotArea dataOnly="0" labelOnly="1" fieldPosition="0">
        <references count="1">
          <reference field="5" count="0"/>
        </references>
      </pivotArea>
    </format>
    <format dxfId="263">
      <pivotArea dataOnly="0" labelOnly="1" grandRow="1" outline="0" fieldPosition="0"/>
    </format>
    <format dxfId="262">
      <pivotArea field="4" type="button" dataOnly="0" labelOnly="1" outline="0" axis="axisCol" fieldPosition="0"/>
    </format>
    <format dxfId="261">
      <pivotArea dataOnly="0" labelOnly="1" fieldPosition="0">
        <references count="1">
          <reference field="4" count="1">
            <x v="0"/>
          </reference>
        </references>
      </pivotArea>
    </format>
    <format dxfId="260">
      <pivotArea dataOnly="0" labelOnly="1" fieldPosition="0">
        <references count="1">
          <reference field="4" count="2">
            <x v="1"/>
            <x v="2"/>
          </reference>
        </references>
      </pivotArea>
    </format>
    <format dxfId="259">
      <pivotArea dataOnly="0" labelOnly="1" grandCol="1" outline="0" fieldPosition="0"/>
    </format>
    <format dxfId="117">
      <pivotArea type="origin" dataOnly="0" labelOnly="1" outline="0" fieldPosition="0"/>
    </format>
    <format dxfId="116">
      <pivotArea field="5" type="button" dataOnly="0" labelOnly="1" outline="0" axis="axisRow" fieldPosition="0"/>
    </format>
    <format dxfId="115">
      <pivotArea field="4" type="button" dataOnly="0" labelOnly="1" outline="0" axis="axisCol" fieldPosition="0"/>
    </format>
    <format dxfId="114">
      <pivotArea dataOnly="0" labelOnly="1" fieldPosition="0">
        <references count="1">
          <reference field="4" count="1">
            <x v="0"/>
          </reference>
        </references>
      </pivotArea>
    </format>
    <format dxfId="98">
      <pivotArea field="5" type="button" dataOnly="0" labelOnly="1" outline="0" axis="axisRow" fieldPosition="0"/>
    </format>
    <format dxfId="97">
      <pivotArea dataOnly="0" labelOnly="1" fieldPosition="0">
        <references count="1">
          <reference field="5" count="0"/>
        </references>
      </pivotArea>
    </format>
    <format dxfId="96">
      <pivotArea dataOnly="0" labelOnly="1" grandRow="1" outline="0" fieldPosition="0"/>
    </format>
    <format dxfId="95">
      <pivotArea field="4" type="button" dataOnly="0" labelOnly="1" outline="0" axis="axisCol" fieldPosition="0"/>
    </format>
    <format dxfId="94">
      <pivotArea field="4" type="button" dataOnly="0" labelOnly="1" outline="0" axis="axisCol" fieldPosition="0"/>
    </format>
    <format dxfId="93">
      <pivotArea field="5" type="button" dataOnly="0" labelOnly="1" outline="0" axis="axisRow" fieldPosition="0"/>
    </format>
    <format dxfId="92">
      <pivotArea dataOnly="0" labelOnly="1" fieldPosition="0">
        <references count="1">
          <reference field="4" count="0"/>
        </references>
      </pivotArea>
    </format>
    <format dxfId="91">
      <pivotArea dataOnly="0" labelOnly="1" grandCol="1" outline="0" fieldPosition="0"/>
    </format>
    <format dxfId="90">
      <pivotArea dataOnly="0" labelOnly="1" grandRow="1" outline="0" fieldPosition="0"/>
    </format>
    <format dxfId="89">
      <pivotArea type="topRight" dataOnly="0" labelOnly="1" outline="0" fieldPosition="0"/>
    </format>
    <format dxfId="88">
      <pivotArea dataOnly="0" labelOnly="1" fieldPosition="0">
        <references count="1">
          <reference field="4" count="1">
            <x v="1"/>
          </reference>
        </references>
      </pivotArea>
    </format>
    <format dxfId="87">
      <pivotArea dataOnly="0" labelOnly="1" fieldPosition="0">
        <references count="1">
          <reference field="4" count="2">
            <x v="1"/>
            <x v="2"/>
          </reference>
        </references>
      </pivotArea>
    </format>
    <format dxfId="86">
      <pivotArea dataOnly="0" labelOnly="1" grandCol="1" outline="0" fieldPosition="0"/>
    </format>
    <format dxfId="85">
      <pivotArea dataOnly="0" labelOnly="1" fieldPosition="0">
        <references count="1">
          <reference field="4" count="1">
            <x v="2"/>
          </reference>
        </references>
      </pivotArea>
    </format>
    <format dxfId="84">
      <pivotArea dataOnly="0" labelOnly="1" grandCol="1" outline="0" fieldPosition="0"/>
    </format>
    <format dxfId="83">
      <pivotArea dataOnly="0" labelOnly="1" fieldPosition="0">
        <references count="1">
          <reference field="4" count="1">
            <x v="1"/>
          </reference>
        </references>
      </pivotArea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92D4A-CEFB-4A69-97E8-4DA54B84F236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ientes que el celular afecta tu sueño?">
  <location ref="A79:C85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" fld="11" subtotal="count" baseField="0" baseItem="0"/>
    <dataField name="h (%)" fld="11" subtotal="count" showDataAs="percentOfTotal" baseField="11" baseItem="0" numFmtId="10"/>
  </dataFields>
  <formats count="37">
    <format dxfId="325">
      <pivotArea type="all" dataOnly="0" outline="0" fieldPosition="0"/>
    </format>
    <format dxfId="324">
      <pivotArea outline="0" collapsedLevelsAreSubtotals="1" fieldPosition="0"/>
    </format>
    <format dxfId="323">
      <pivotArea field="11" type="button" dataOnly="0" labelOnly="1" outline="0" axis="axisRow" fieldPosition="0"/>
    </format>
    <format dxfId="322">
      <pivotArea dataOnly="0" labelOnly="1" fieldPosition="0">
        <references count="1">
          <reference field="11" count="0"/>
        </references>
      </pivotArea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9">
      <pivotArea field="11" type="button" dataOnly="0" labelOnly="1" outline="0" axis="axisRow" fieldPosition="0"/>
    </format>
    <format dxfId="318">
      <pivotArea dataOnly="0" labelOnly="1" fieldPosition="0">
        <references count="1">
          <reference field="11" count="0"/>
        </references>
      </pivotArea>
    </format>
    <format dxfId="317">
      <pivotArea dataOnly="0" labelOnly="1" grandRow="1" outline="0" fieldPosition="0"/>
    </format>
    <format dxfId="316">
      <pivotArea field="11" type="button" dataOnly="0" labelOnly="1" outline="0" axis="axisRow" fieldPosition="0"/>
    </format>
    <format dxfId="3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9">
      <pivotArea field="11" type="button" dataOnly="0" labelOnly="1" outline="0" axis="axisRow" fieldPosition="0"/>
    </format>
    <format dxfId="308">
      <pivotArea dataOnly="0" labelOnly="1" fieldPosition="0">
        <references count="1">
          <reference field="11" count="0"/>
        </references>
      </pivotArea>
    </format>
    <format dxfId="307">
      <pivotArea dataOnly="0" labelOnly="1" grandRow="1" outline="0" fieldPosition="0"/>
    </format>
    <format dxfId="306">
      <pivotArea field="1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05">
      <pivotArea grandRow="1" outline="0" collapsedLevelsAreSubtotals="1" fieldPosition="0"/>
    </format>
    <format dxfId="304">
      <pivotArea dataOnly="0" labelOnly="1" grandRow="1" outline="0" fieldPosition="0"/>
    </format>
    <format dxfId="303">
      <pivotArea field="11" type="button" dataOnly="0" labelOnly="1" outline="0" axis="axisRow" fieldPosition="0"/>
    </format>
    <format dxfId="3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1">
      <pivotArea outline="0" collapsedLevelsAreSubtotals="1" fieldPosition="0"/>
    </format>
    <format dxfId="300">
      <pivotArea outline="0" collapsedLevelsAreSubtotals="1" fieldPosition="0"/>
    </format>
    <format dxfId="119">
      <pivotArea field="11" type="button" dataOnly="0" labelOnly="1" outline="0" axis="axisRow" fieldPosition="0"/>
    </format>
    <format dxfId="64">
      <pivotArea field="11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field="11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dataOnly="0" labelOnly="1" fieldPosition="0">
        <references count="1">
          <reference field="11" count="0"/>
        </references>
      </pivotArea>
    </format>
    <format dxfId="59">
      <pivotArea dataOnly="0" labelOnly="1" grandRow="1" outline="0" fieldPosition="0"/>
    </format>
    <format dxfId="58">
      <pivotArea dataOnly="0" labelOnly="1" grandRow="1" outline="0" fieldPosition="0"/>
    </format>
    <format dxfId="57">
      <pivotArea field="11" type="button" dataOnly="0" labelOnly="1" outline="0" axis="axisRow" fieldPosition="0"/>
    </format>
    <format dxfId="56">
      <pivotArea dataOnly="0" labelOnly="1" fieldPosition="0">
        <references count="1">
          <reference field="11" count="0"/>
        </references>
      </pivotArea>
    </format>
    <format dxfId="55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2BA99-0C82-49DA-9FB6-4EF67A4EF2E8}" name="TablaDinámica1" cacheId="1" dataPosition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 rowHeaderCaption=" Horas promedio al día de uso del celular  ">
  <location ref="A5:C10" firstHeaderRow="0" firstDataRow="1" firstDataCol="1"/>
  <pivotFields count="12"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" fld="5" subtotal="count" baseField="0" baseItem="0"/>
    <dataField name="h (%)" fld="5" subtotal="count" showDataAs="percentOfTotal" baseField="0" baseItem="0" numFmtId="10"/>
  </dataFields>
  <formats count="41">
    <format dxfId="358">
      <pivotArea dataOnly="0" labelOnly="1" fieldPosition="0">
        <references count="1">
          <reference field="5" count="0"/>
        </references>
      </pivotArea>
    </format>
    <format dxfId="357">
      <pivotArea dataOnly="0" labelOnly="1" grandRow="1" outline="0" fieldPosition="0"/>
    </format>
    <format dxfId="356">
      <pivotArea dataOnly="0" labelOnly="1" fieldPosition="0">
        <references count="1">
          <reference field="5" count="0"/>
        </references>
      </pivotArea>
    </format>
    <format dxfId="355">
      <pivotArea dataOnly="0" labelOnly="1" grandRow="1" outline="0" fieldPosition="0"/>
    </format>
    <format dxfId="354">
      <pivotArea field="5" type="button" dataOnly="0" labelOnly="1" outline="0" axis="axisRow" fieldPosition="0"/>
    </format>
    <format dxfId="353">
      <pivotArea dataOnly="0" labelOnly="1" outline="0" axis="axisValues" fieldPosition="0"/>
    </format>
    <format dxfId="352">
      <pivotArea outline="0" collapsedLevelsAreSubtotals="1" fieldPosition="0"/>
    </format>
    <format dxfId="351">
      <pivotArea outline="0" fieldPosition="0">
        <references count="1">
          <reference field="4294967294" count="1">
            <x v="1"/>
          </reference>
        </references>
      </pivotArea>
    </format>
    <format dxfId="35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">
      <pivotArea field="5" type="button" dataOnly="0" labelOnly="1" outline="0" axis="axisRow" fieldPosition="0"/>
    </format>
    <format dxfId="345">
      <pivotArea dataOnly="0" labelOnly="1" fieldPosition="0">
        <references count="1">
          <reference field="5" count="0"/>
        </references>
      </pivotArea>
    </format>
    <format dxfId="344">
      <pivotArea dataOnly="0" labelOnly="1" grandRow="1" outline="0" fieldPosition="0"/>
    </format>
    <format dxfId="3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2">
      <pivotArea field="5" type="button" dataOnly="0" labelOnly="1" outline="0" axis="axisRow" fieldPosition="0"/>
    </format>
    <format dxfId="3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0">
      <pivotArea field="5" type="button" dataOnly="0" labelOnly="1" outline="0" axis="axisRow" fieldPosition="0"/>
    </format>
    <format dxfId="339">
      <pivotArea dataOnly="0" labelOnly="1" fieldPosition="0">
        <references count="1">
          <reference field="5" count="0"/>
        </references>
      </pivotArea>
    </format>
    <format dxfId="338">
      <pivotArea dataOnly="0" labelOnly="1" grandRow="1" outline="0" fieldPosition="0"/>
    </format>
    <format dxfId="337">
      <pivotArea dataOnly="0" labelOnly="1" grandRow="1" outline="0" fieldPosition="0"/>
    </format>
    <format dxfId="336">
      <pivotArea grandRow="1" outline="0" collapsedLevelsAreSubtotals="1" fieldPosition="0"/>
    </format>
    <format dxfId="3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3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  <format dxfId="3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1">
      <pivotArea outline="0" collapsedLevelsAreSubtotals="1" fieldPosition="0"/>
    </format>
    <format dxfId="3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9">
      <pivotArea field="5" type="button" dataOnly="0" labelOnly="1" outline="0" axis="axisRow" fieldPosition="0"/>
    </format>
    <format dxfId="328">
      <pivotArea dataOnly="0" labelOnly="1" fieldPosition="0">
        <references count="1">
          <reference field="5" count="0"/>
        </references>
      </pivotArea>
    </format>
    <format dxfId="327">
      <pivotArea dataOnly="0" labelOnly="1" grandRow="1" outline="0" fieldPosition="0"/>
    </format>
    <format dxfId="3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field="5" type="button" dataOnly="0" labelOnly="1" outline="0" axis="axisRow" fieldPosition="0"/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field="5" type="button" dataOnly="0" labelOnly="1" outline="0" axis="axisRow" fieldPosition="0"/>
    </format>
    <format dxfId="108">
      <pivotArea dataOnly="0" labelOnly="1" fieldPosition="0">
        <references count="1">
          <reference field="5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5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74166-FC44-485A-A89C-3810704E2EC2}" name="Tabla1" displayName="Tabla1" ref="A1:L60" totalsRowShown="0" headerRowDxfId="118" dataDxfId="133" tableBorderDxfId="132">
  <autoFilter ref="A1:L60" xr:uid="{C7274166-FC44-485A-A89C-3810704E2EC2}"/>
  <tableColumns count="12">
    <tableColumn id="1" xr3:uid="{E046AA17-45F3-447C-9000-22457DD07DF8}" name="Carrera" dataDxfId="131"/>
    <tableColumn id="3" xr3:uid="{6A9E60C5-BA85-4B6F-8159-A2E6B02ED38E}" name="  Semestre académico actual  " dataDxfId="130"/>
    <tableColumn id="4" xr3:uid="{4DE72ED0-AA09-4B41-AFE1-A6B12F4D2F76}" name="Edad:" dataDxfId="129"/>
    <tableColumn id="5" xr3:uid="{C7C4743B-E4B4-4EF9-9378-3BE2E8411E0B}" name="  Género  " dataDxfId="128"/>
    <tableColumn id="6" xr3:uid="{D22B290C-E903-4691-8894-ACBB9689FF07}" name="Horas promedio de sueño al día " dataDxfId="127"/>
    <tableColumn id="7" xr3:uid="{6B7385A0-5256-4A6B-B19F-CDB28E4B958C}" name="Horas promedio al día de uso del celular  " dataDxfId="126"/>
    <tableColumn id="8" xr3:uid="{49FE79F1-5066-4A60-AC8A-AAC312FD2C07}" name="¿Para qué usas la mayor parte del tiempo el celular?  " dataDxfId="125"/>
    <tableColumn id="9" xr3:uid="{A17AE5D7-E198-4055-9E6E-EDF62384BF9E}" name="¿Haces actividad física?" dataDxfId="124"/>
    <tableColumn id="10" xr3:uid="{5A103C04-5932-4234-98B5-D0B0A5A3B329}" name="¿Cuántas horas al día dedicas a estudiar o trabajar?  " dataDxfId="123"/>
    <tableColumn id="11" xr3:uid="{C14F2C14-EDAF-4031-9B2E-BC86C50B1FC7}" name="Nivel de satisfacción contigo mismo/a y con tu vida  " dataDxfId="122"/>
    <tableColumn id="12" xr3:uid="{676471DB-D966-4268-8247-B5E6B6D0A9A7}" name="¿Cómo calificas tu nivel de estrés?" dataDxfId="121"/>
    <tableColumn id="13" xr3:uid="{EAC8DD3C-BA40-4470-9153-4E7BEA8B839F}" name="¿Sientes que el uso del celular afecta tu sueño?  " dataDxfId="120"/>
  </tableColumns>
  <tableStyleInfo name="Respuestas de formulario 1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E87B-3E61-4F41-9D5D-8C2CC54F529E}">
  <dimension ref="A1:L60"/>
  <sheetViews>
    <sheetView showGridLines="0" tabSelected="1" topLeftCell="G1" zoomScaleNormal="100" workbookViewId="0">
      <selection activeCell="I7" sqref="I7"/>
    </sheetView>
  </sheetViews>
  <sheetFormatPr baseColWidth="10" defaultRowHeight="13.2" x14ac:dyDescent="0.25"/>
  <cols>
    <col min="1" max="1" width="45.109375" bestFit="1" customWidth="1"/>
    <col min="2" max="2" width="34.88671875" bestFit="1" customWidth="1"/>
    <col min="3" max="3" width="11.6640625" bestFit="1" customWidth="1"/>
    <col min="4" max="4" width="15.33203125" bestFit="1" customWidth="1"/>
    <col min="5" max="5" width="37.44140625" bestFit="1" customWidth="1"/>
    <col min="6" max="6" width="46.21875" bestFit="1" customWidth="1"/>
    <col min="7" max="7" width="58.109375" bestFit="1" customWidth="1"/>
    <col min="8" max="8" width="29.44140625" bestFit="1" customWidth="1"/>
    <col min="9" max="9" width="57.77734375" bestFit="1" customWidth="1"/>
    <col min="10" max="10" width="56.88671875" bestFit="1" customWidth="1"/>
    <col min="11" max="11" width="39.88671875" bestFit="1" customWidth="1"/>
    <col min="12" max="12" width="53.6640625" bestFit="1" customWidth="1"/>
  </cols>
  <sheetData>
    <row r="1" spans="1:12" s="87" customFormat="1" ht="27.6" customHeight="1" x14ac:dyDescent="0.25">
      <c r="A1" s="86" t="s">
        <v>0</v>
      </c>
      <c r="B1" s="86" t="s">
        <v>1</v>
      </c>
      <c r="C1" s="86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6" t="s">
        <v>8</v>
      </c>
      <c r="J1" s="86" t="s">
        <v>9</v>
      </c>
      <c r="K1" s="86" t="s">
        <v>10</v>
      </c>
      <c r="L1" s="86" t="s">
        <v>11</v>
      </c>
    </row>
    <row r="2" spans="1:12" x14ac:dyDescent="0.25">
      <c r="A2" s="1" t="s">
        <v>12</v>
      </c>
      <c r="B2" s="1">
        <v>4</v>
      </c>
      <c r="C2" s="1" t="s">
        <v>13</v>
      </c>
      <c r="D2" s="1" t="s">
        <v>14</v>
      </c>
      <c r="E2" s="19">
        <v>5.5</v>
      </c>
      <c r="F2" s="1">
        <v>6</v>
      </c>
      <c r="G2" s="1" t="s">
        <v>17</v>
      </c>
      <c r="H2" s="1" t="s">
        <v>18</v>
      </c>
      <c r="I2" s="1">
        <v>5</v>
      </c>
      <c r="J2" s="1">
        <v>8</v>
      </c>
      <c r="K2" s="1" t="s">
        <v>19</v>
      </c>
      <c r="L2" s="1" t="s">
        <v>20</v>
      </c>
    </row>
    <row r="3" spans="1:12" x14ac:dyDescent="0.25">
      <c r="A3" s="2" t="s">
        <v>21</v>
      </c>
      <c r="B3" s="2">
        <v>6</v>
      </c>
      <c r="C3" s="2" t="s">
        <v>22</v>
      </c>
      <c r="D3" s="2" t="s">
        <v>23</v>
      </c>
      <c r="E3" s="2">
        <v>7.5</v>
      </c>
      <c r="F3" s="2">
        <v>3</v>
      </c>
      <c r="G3" s="2" t="s">
        <v>26</v>
      </c>
      <c r="H3" s="2" t="s">
        <v>27</v>
      </c>
      <c r="I3" s="2">
        <v>8</v>
      </c>
      <c r="J3" s="2">
        <v>9</v>
      </c>
      <c r="K3" s="2" t="s">
        <v>28</v>
      </c>
      <c r="L3" s="2" t="s">
        <v>29</v>
      </c>
    </row>
    <row r="4" spans="1:12" x14ac:dyDescent="0.25">
      <c r="A4" s="1" t="s">
        <v>30</v>
      </c>
      <c r="B4" s="1">
        <v>2</v>
      </c>
      <c r="C4" s="1" t="s">
        <v>31</v>
      </c>
      <c r="D4" s="1" t="s">
        <v>14</v>
      </c>
      <c r="E4" s="1">
        <v>5.5</v>
      </c>
      <c r="F4" s="1">
        <v>9</v>
      </c>
      <c r="G4" s="1" t="s">
        <v>33</v>
      </c>
      <c r="H4" s="1" t="s">
        <v>18</v>
      </c>
      <c r="I4" s="1">
        <v>5</v>
      </c>
      <c r="J4" s="1">
        <v>6</v>
      </c>
      <c r="K4" s="1" t="s">
        <v>34</v>
      </c>
      <c r="L4" s="1" t="s">
        <v>35</v>
      </c>
    </row>
    <row r="5" spans="1:12" x14ac:dyDescent="0.25">
      <c r="A5" s="2" t="s">
        <v>36</v>
      </c>
      <c r="B5" s="2">
        <v>7</v>
      </c>
      <c r="C5" s="2" t="s">
        <v>22</v>
      </c>
      <c r="D5" s="2" t="s">
        <v>23</v>
      </c>
      <c r="E5" s="2">
        <v>7.5</v>
      </c>
      <c r="F5" s="2">
        <v>6</v>
      </c>
      <c r="G5" s="2" t="s">
        <v>37</v>
      </c>
      <c r="H5" s="2" t="s">
        <v>18</v>
      </c>
      <c r="I5" s="2">
        <v>8</v>
      </c>
      <c r="J5" s="2">
        <v>7</v>
      </c>
      <c r="K5" s="2" t="s">
        <v>19</v>
      </c>
      <c r="L5" s="2" t="s">
        <v>20</v>
      </c>
    </row>
    <row r="6" spans="1:12" x14ac:dyDescent="0.25">
      <c r="A6" s="1" t="s">
        <v>38</v>
      </c>
      <c r="B6" s="1">
        <v>4</v>
      </c>
      <c r="C6" s="1" t="s">
        <v>13</v>
      </c>
      <c r="D6" s="1" t="s">
        <v>14</v>
      </c>
      <c r="E6" s="1">
        <v>7.5</v>
      </c>
      <c r="F6" s="1">
        <v>6</v>
      </c>
      <c r="G6" s="1" t="s">
        <v>17</v>
      </c>
      <c r="H6" s="1" t="s">
        <v>27</v>
      </c>
      <c r="I6" s="1">
        <v>5</v>
      </c>
      <c r="J6" s="1">
        <v>8</v>
      </c>
      <c r="K6" s="1" t="s">
        <v>28</v>
      </c>
      <c r="L6" s="1" t="s">
        <v>29</v>
      </c>
    </row>
    <row r="7" spans="1:12" x14ac:dyDescent="0.25">
      <c r="A7" s="2" t="s">
        <v>39</v>
      </c>
      <c r="B7" s="2">
        <v>9</v>
      </c>
      <c r="C7" s="2" t="s">
        <v>40</v>
      </c>
      <c r="D7" s="2" t="s">
        <v>23</v>
      </c>
      <c r="E7" s="2">
        <v>5.5</v>
      </c>
      <c r="F7" s="2">
        <v>9</v>
      </c>
      <c r="G7" s="2" t="s">
        <v>41</v>
      </c>
      <c r="H7" s="2" t="s">
        <v>18</v>
      </c>
      <c r="I7" s="2">
        <v>10</v>
      </c>
      <c r="J7" s="2">
        <v>6</v>
      </c>
      <c r="K7" s="2" t="s">
        <v>34</v>
      </c>
      <c r="L7" s="2" t="s">
        <v>35</v>
      </c>
    </row>
    <row r="8" spans="1:12" x14ac:dyDescent="0.25">
      <c r="A8" s="1" t="s">
        <v>42</v>
      </c>
      <c r="B8" s="1">
        <v>5</v>
      </c>
      <c r="C8" s="1" t="s">
        <v>22</v>
      </c>
      <c r="D8" s="1" t="s">
        <v>14</v>
      </c>
      <c r="E8" s="1">
        <v>7.5</v>
      </c>
      <c r="F8" s="1">
        <v>3</v>
      </c>
      <c r="G8" s="1" t="s">
        <v>26</v>
      </c>
      <c r="H8" s="1" t="s">
        <v>43</v>
      </c>
      <c r="I8" s="1">
        <v>8</v>
      </c>
      <c r="J8" s="1">
        <v>9</v>
      </c>
      <c r="K8" s="1" t="s">
        <v>19</v>
      </c>
      <c r="L8" s="1" t="s">
        <v>44</v>
      </c>
    </row>
    <row r="9" spans="1:12" x14ac:dyDescent="0.25">
      <c r="A9" s="2" t="s">
        <v>45</v>
      </c>
      <c r="B9" s="2">
        <v>2</v>
      </c>
      <c r="C9" s="2" t="s">
        <v>13</v>
      </c>
      <c r="D9" s="2" t="s">
        <v>23</v>
      </c>
      <c r="E9" s="2">
        <v>4</v>
      </c>
      <c r="F9" s="2">
        <v>11</v>
      </c>
      <c r="G9" s="2" t="s">
        <v>33</v>
      </c>
      <c r="H9" s="2" t="s">
        <v>44</v>
      </c>
      <c r="I9" s="2">
        <v>5</v>
      </c>
      <c r="J9" s="2">
        <v>5</v>
      </c>
      <c r="K9" s="2" t="s">
        <v>48</v>
      </c>
      <c r="L9" s="2" t="s">
        <v>49</v>
      </c>
    </row>
    <row r="10" spans="1:12" x14ac:dyDescent="0.25">
      <c r="A10" s="1" t="s">
        <v>50</v>
      </c>
      <c r="B10" s="1">
        <v>7</v>
      </c>
      <c r="C10" s="1" t="s">
        <v>22</v>
      </c>
      <c r="D10" s="1" t="s">
        <v>14</v>
      </c>
      <c r="E10" s="1">
        <v>5.5</v>
      </c>
      <c r="F10" s="1">
        <v>6</v>
      </c>
      <c r="G10" s="1" t="s">
        <v>51</v>
      </c>
      <c r="H10" s="1" t="s">
        <v>27</v>
      </c>
      <c r="I10" s="1">
        <v>8</v>
      </c>
      <c r="J10" s="1">
        <v>8</v>
      </c>
      <c r="K10" s="1" t="s">
        <v>19</v>
      </c>
      <c r="L10" s="1" t="s">
        <v>20</v>
      </c>
    </row>
    <row r="11" spans="1:12" x14ac:dyDescent="0.25">
      <c r="A11" s="2" t="s">
        <v>52</v>
      </c>
      <c r="B11" s="2">
        <v>4</v>
      </c>
      <c r="C11" s="2" t="s">
        <v>13</v>
      </c>
      <c r="D11" s="2" t="s">
        <v>23</v>
      </c>
      <c r="E11" s="2">
        <v>7.5</v>
      </c>
      <c r="F11" s="2">
        <v>3</v>
      </c>
      <c r="G11" s="2" t="s">
        <v>26</v>
      </c>
      <c r="H11" s="2" t="s">
        <v>43</v>
      </c>
      <c r="I11" s="2">
        <v>8</v>
      </c>
      <c r="J11" s="2">
        <v>9</v>
      </c>
      <c r="K11" s="2" t="s">
        <v>28</v>
      </c>
      <c r="L11" s="2" t="s">
        <v>29</v>
      </c>
    </row>
    <row r="12" spans="1:12" x14ac:dyDescent="0.25">
      <c r="A12" s="1" t="s">
        <v>36</v>
      </c>
      <c r="B12" s="1">
        <v>5</v>
      </c>
      <c r="C12" s="1" t="s">
        <v>22</v>
      </c>
      <c r="D12" s="1" t="s">
        <v>14</v>
      </c>
      <c r="E12" s="1">
        <v>5.5</v>
      </c>
      <c r="F12" s="1">
        <v>9</v>
      </c>
      <c r="G12" s="1" t="s">
        <v>17</v>
      </c>
      <c r="H12" s="1" t="s">
        <v>18</v>
      </c>
      <c r="I12" s="1">
        <v>8</v>
      </c>
      <c r="J12" s="1">
        <v>7</v>
      </c>
      <c r="K12" s="1" t="s">
        <v>34</v>
      </c>
      <c r="L12" s="1" t="s">
        <v>35</v>
      </c>
    </row>
    <row r="13" spans="1:12" x14ac:dyDescent="0.25">
      <c r="A13" s="2" t="s">
        <v>21</v>
      </c>
      <c r="B13" s="2">
        <v>2</v>
      </c>
      <c r="C13" s="2" t="s">
        <v>13</v>
      </c>
      <c r="D13" s="2" t="s">
        <v>23</v>
      </c>
      <c r="E13" s="2">
        <v>7.5</v>
      </c>
      <c r="F13" s="2">
        <v>3</v>
      </c>
      <c r="G13" s="2" t="s">
        <v>26</v>
      </c>
      <c r="H13" s="2" t="s">
        <v>27</v>
      </c>
      <c r="I13" s="2">
        <v>5</v>
      </c>
      <c r="J13" s="2">
        <v>8</v>
      </c>
      <c r="K13" s="2" t="s">
        <v>28</v>
      </c>
      <c r="L13" s="2" t="s">
        <v>44</v>
      </c>
    </row>
    <row r="14" spans="1:12" x14ac:dyDescent="0.25">
      <c r="A14" s="1" t="s">
        <v>30</v>
      </c>
      <c r="B14" s="1">
        <v>4</v>
      </c>
      <c r="C14" s="1" t="s">
        <v>13</v>
      </c>
      <c r="D14" s="1" t="s">
        <v>14</v>
      </c>
      <c r="E14" s="1">
        <v>5.5</v>
      </c>
      <c r="F14" s="1">
        <v>9</v>
      </c>
      <c r="G14" s="1" t="s">
        <v>33</v>
      </c>
      <c r="H14" s="1" t="s">
        <v>18</v>
      </c>
      <c r="I14" s="1">
        <v>8</v>
      </c>
      <c r="J14" s="1">
        <v>6</v>
      </c>
      <c r="K14" s="1" t="s">
        <v>34</v>
      </c>
      <c r="L14" s="1" t="s">
        <v>49</v>
      </c>
    </row>
    <row r="15" spans="1:12" x14ac:dyDescent="0.25">
      <c r="A15" s="2" t="s">
        <v>39</v>
      </c>
      <c r="B15" s="2">
        <v>6</v>
      </c>
      <c r="C15" s="2" t="s">
        <v>22</v>
      </c>
      <c r="D15" s="2" t="s">
        <v>14</v>
      </c>
      <c r="E15" s="2">
        <v>7.5</v>
      </c>
      <c r="F15" s="2">
        <v>6</v>
      </c>
      <c r="G15" s="2" t="s">
        <v>17</v>
      </c>
      <c r="H15" s="2" t="s">
        <v>27</v>
      </c>
      <c r="I15" s="2">
        <v>10</v>
      </c>
      <c r="J15" s="2">
        <v>8</v>
      </c>
      <c r="K15" s="2" t="s">
        <v>19</v>
      </c>
      <c r="L15" s="2" t="s">
        <v>20</v>
      </c>
    </row>
    <row r="16" spans="1:12" x14ac:dyDescent="0.25">
      <c r="A16" s="1" t="s">
        <v>12</v>
      </c>
      <c r="B16" s="1">
        <v>7</v>
      </c>
      <c r="C16" s="1" t="s">
        <v>22</v>
      </c>
      <c r="D16" s="1" t="s">
        <v>23</v>
      </c>
      <c r="E16" s="1">
        <v>5.5</v>
      </c>
      <c r="F16" s="1">
        <v>11</v>
      </c>
      <c r="G16" s="1" t="s">
        <v>37</v>
      </c>
      <c r="H16" s="1" t="s">
        <v>44</v>
      </c>
      <c r="I16" s="1">
        <v>8</v>
      </c>
      <c r="J16" s="1">
        <v>5</v>
      </c>
      <c r="K16" s="1" t="s">
        <v>48</v>
      </c>
      <c r="L16" s="1" t="s">
        <v>49</v>
      </c>
    </row>
    <row r="17" spans="1:12" x14ac:dyDescent="0.25">
      <c r="A17" s="2" t="s">
        <v>38</v>
      </c>
      <c r="B17" s="2">
        <v>2</v>
      </c>
      <c r="C17" s="2" t="s">
        <v>31</v>
      </c>
      <c r="D17" s="2" t="s">
        <v>14</v>
      </c>
      <c r="E17" s="2">
        <v>7.5</v>
      </c>
      <c r="F17" s="2">
        <v>6</v>
      </c>
      <c r="G17" s="2" t="s">
        <v>33</v>
      </c>
      <c r="H17" s="2" t="s">
        <v>43</v>
      </c>
      <c r="I17" s="2">
        <v>5</v>
      </c>
      <c r="J17" s="2">
        <v>9</v>
      </c>
      <c r="K17" s="2" t="s">
        <v>28</v>
      </c>
      <c r="L17" s="2" t="s">
        <v>20</v>
      </c>
    </row>
    <row r="18" spans="1:12" x14ac:dyDescent="0.25">
      <c r="A18" s="1" t="s">
        <v>42</v>
      </c>
      <c r="B18" s="1">
        <v>8</v>
      </c>
      <c r="C18" s="1" t="s">
        <v>40</v>
      </c>
      <c r="D18" s="1" t="s">
        <v>23</v>
      </c>
      <c r="E18" s="1">
        <v>5.5</v>
      </c>
      <c r="F18" s="1">
        <v>3</v>
      </c>
      <c r="G18" s="1" t="s">
        <v>26</v>
      </c>
      <c r="H18" s="1" t="s">
        <v>18</v>
      </c>
      <c r="I18" s="1">
        <v>10</v>
      </c>
      <c r="J18" s="1">
        <v>7</v>
      </c>
      <c r="K18" s="1" t="s">
        <v>34</v>
      </c>
      <c r="L18" s="1" t="s">
        <v>29</v>
      </c>
    </row>
    <row r="19" spans="1:12" x14ac:dyDescent="0.25">
      <c r="A19" s="2" t="s">
        <v>52</v>
      </c>
      <c r="B19" s="2">
        <v>4</v>
      </c>
      <c r="C19" s="2" t="s">
        <v>13</v>
      </c>
      <c r="D19" s="2" t="s">
        <v>14</v>
      </c>
      <c r="E19" s="2">
        <v>7.5</v>
      </c>
      <c r="F19" s="2">
        <v>6</v>
      </c>
      <c r="G19" s="2" t="s">
        <v>41</v>
      </c>
      <c r="H19" s="2" t="s">
        <v>27</v>
      </c>
      <c r="I19" s="2">
        <v>8</v>
      </c>
      <c r="J19" s="2">
        <v>8</v>
      </c>
      <c r="K19" s="2" t="s">
        <v>19</v>
      </c>
      <c r="L19" s="2" t="s">
        <v>20</v>
      </c>
    </row>
    <row r="20" spans="1:12" x14ac:dyDescent="0.25">
      <c r="A20" s="1" t="s">
        <v>53</v>
      </c>
      <c r="B20" s="1">
        <v>6</v>
      </c>
      <c r="C20" s="1" t="s">
        <v>22</v>
      </c>
      <c r="D20" s="1" t="s">
        <v>23</v>
      </c>
      <c r="E20" s="1">
        <v>4</v>
      </c>
      <c r="F20" s="1">
        <v>11</v>
      </c>
      <c r="G20" s="1" t="s">
        <v>37</v>
      </c>
      <c r="H20" s="1" t="s">
        <v>18</v>
      </c>
      <c r="I20" s="1">
        <v>8</v>
      </c>
      <c r="J20" s="1">
        <v>6</v>
      </c>
      <c r="K20" s="1" t="s">
        <v>48</v>
      </c>
      <c r="L20" s="1" t="s">
        <v>49</v>
      </c>
    </row>
    <row r="21" spans="1:12" x14ac:dyDescent="0.25">
      <c r="A21" s="2" t="s">
        <v>50</v>
      </c>
      <c r="B21" s="2">
        <v>4</v>
      </c>
      <c r="C21" s="2" t="s">
        <v>13</v>
      </c>
      <c r="D21" s="2" t="s">
        <v>14</v>
      </c>
      <c r="E21" s="2">
        <v>7.5</v>
      </c>
      <c r="F21" s="2">
        <v>6</v>
      </c>
      <c r="G21" s="2" t="s">
        <v>51</v>
      </c>
      <c r="H21" s="2" t="s">
        <v>27</v>
      </c>
      <c r="I21" s="2">
        <v>5</v>
      </c>
      <c r="J21" s="2">
        <v>8</v>
      </c>
      <c r="K21" s="2" t="s">
        <v>28</v>
      </c>
      <c r="L21" s="2" t="s">
        <v>29</v>
      </c>
    </row>
    <row r="22" spans="1:12" x14ac:dyDescent="0.25">
      <c r="A22" s="1" t="s">
        <v>21</v>
      </c>
      <c r="B22" s="1">
        <v>8</v>
      </c>
      <c r="C22" s="1" t="s">
        <v>22</v>
      </c>
      <c r="D22" s="1" t="s">
        <v>14</v>
      </c>
      <c r="E22" s="1">
        <v>5.5</v>
      </c>
      <c r="F22" s="1">
        <v>6</v>
      </c>
      <c r="G22" s="1" t="s">
        <v>17</v>
      </c>
      <c r="H22" s="1" t="s">
        <v>18</v>
      </c>
      <c r="I22" s="1">
        <v>10</v>
      </c>
      <c r="J22" s="1">
        <v>7</v>
      </c>
      <c r="K22" s="1" t="s">
        <v>34</v>
      </c>
      <c r="L22" s="1" t="s">
        <v>35</v>
      </c>
    </row>
    <row r="23" spans="1:12" x14ac:dyDescent="0.25">
      <c r="A23" s="2" t="s">
        <v>39</v>
      </c>
      <c r="B23" s="2">
        <v>4</v>
      </c>
      <c r="C23" s="2" t="s">
        <v>13</v>
      </c>
      <c r="D23" s="2" t="s">
        <v>23</v>
      </c>
      <c r="E23" s="2">
        <v>7.5</v>
      </c>
      <c r="F23" s="2">
        <v>3</v>
      </c>
      <c r="G23" s="2" t="s">
        <v>26</v>
      </c>
      <c r="H23" s="2" t="s">
        <v>43</v>
      </c>
      <c r="I23" s="2">
        <v>8</v>
      </c>
      <c r="J23" s="2">
        <v>9</v>
      </c>
      <c r="K23" s="2" t="s">
        <v>28</v>
      </c>
      <c r="L23" s="2" t="s">
        <v>44</v>
      </c>
    </row>
    <row r="24" spans="1:12" x14ac:dyDescent="0.25">
      <c r="A24" s="1" t="s">
        <v>12</v>
      </c>
      <c r="B24" s="1">
        <v>9</v>
      </c>
      <c r="C24" s="1" t="s">
        <v>40</v>
      </c>
      <c r="D24" s="1" t="s">
        <v>23</v>
      </c>
      <c r="E24" s="1">
        <v>4</v>
      </c>
      <c r="F24" s="1">
        <v>9</v>
      </c>
      <c r="G24" s="1" t="s">
        <v>41</v>
      </c>
      <c r="H24" s="1" t="s">
        <v>44</v>
      </c>
      <c r="I24" s="1">
        <v>10</v>
      </c>
      <c r="J24" s="1">
        <v>5</v>
      </c>
      <c r="K24" s="1" t="s">
        <v>48</v>
      </c>
      <c r="L24" s="1" t="s">
        <v>49</v>
      </c>
    </row>
    <row r="25" spans="1:12" x14ac:dyDescent="0.25">
      <c r="A25" s="2" t="s">
        <v>30</v>
      </c>
      <c r="B25" s="2">
        <v>5</v>
      </c>
      <c r="C25" s="2" t="s">
        <v>22</v>
      </c>
      <c r="D25" s="2" t="s">
        <v>14</v>
      </c>
      <c r="E25" s="2">
        <v>5.5</v>
      </c>
      <c r="F25" s="2">
        <v>6</v>
      </c>
      <c r="G25" s="2" t="s">
        <v>17</v>
      </c>
      <c r="H25" s="2" t="s">
        <v>27</v>
      </c>
      <c r="I25" s="2">
        <v>8</v>
      </c>
      <c r="J25" s="2">
        <v>7</v>
      </c>
      <c r="K25" s="2" t="s">
        <v>19</v>
      </c>
      <c r="L25" s="2" t="s">
        <v>20</v>
      </c>
    </row>
    <row r="26" spans="1:12" x14ac:dyDescent="0.25">
      <c r="A26" s="1" t="s">
        <v>38</v>
      </c>
      <c r="B26" s="1">
        <v>4</v>
      </c>
      <c r="C26" s="1" t="s">
        <v>13</v>
      </c>
      <c r="D26" s="1" t="s">
        <v>23</v>
      </c>
      <c r="E26" s="1">
        <v>7.5</v>
      </c>
      <c r="F26" s="1">
        <v>3</v>
      </c>
      <c r="G26" s="1" t="s">
        <v>26</v>
      </c>
      <c r="H26" s="1" t="s">
        <v>43</v>
      </c>
      <c r="I26" s="1">
        <v>5</v>
      </c>
      <c r="J26" s="1">
        <v>9</v>
      </c>
      <c r="K26" s="1" t="s">
        <v>28</v>
      </c>
      <c r="L26" s="1" t="s">
        <v>29</v>
      </c>
    </row>
    <row r="27" spans="1:12" x14ac:dyDescent="0.25">
      <c r="A27" s="1" t="s">
        <v>42</v>
      </c>
      <c r="B27" s="1" t="s">
        <v>54</v>
      </c>
      <c r="C27" s="1" t="s">
        <v>40</v>
      </c>
      <c r="D27" s="1" t="s">
        <v>14</v>
      </c>
      <c r="E27" s="1">
        <v>5.5</v>
      </c>
      <c r="F27" s="1">
        <v>6</v>
      </c>
      <c r="G27" s="1" t="s">
        <v>17</v>
      </c>
      <c r="H27" s="1" t="s">
        <v>18</v>
      </c>
      <c r="I27" s="1">
        <v>10</v>
      </c>
      <c r="J27" s="1">
        <v>7</v>
      </c>
      <c r="K27" s="1" t="s">
        <v>34</v>
      </c>
      <c r="L27" s="1" t="s">
        <v>20</v>
      </c>
    </row>
    <row r="28" spans="1:12" x14ac:dyDescent="0.25">
      <c r="A28" s="1" t="s">
        <v>21</v>
      </c>
      <c r="B28" s="1" t="s">
        <v>55</v>
      </c>
      <c r="C28" s="1" t="s">
        <v>13</v>
      </c>
      <c r="D28" s="1" t="s">
        <v>14</v>
      </c>
      <c r="E28" s="1">
        <v>7.5</v>
      </c>
      <c r="F28" s="1">
        <v>6</v>
      </c>
      <c r="G28" s="1" t="s">
        <v>33</v>
      </c>
      <c r="H28" s="1" t="s">
        <v>27</v>
      </c>
      <c r="I28" s="1">
        <v>8</v>
      </c>
      <c r="J28" s="1">
        <v>8</v>
      </c>
      <c r="K28" s="1" t="s">
        <v>19</v>
      </c>
      <c r="L28" s="1" t="s">
        <v>29</v>
      </c>
    </row>
    <row r="29" spans="1:12" x14ac:dyDescent="0.25">
      <c r="A29" s="1" t="s">
        <v>45</v>
      </c>
      <c r="B29" s="1" t="s">
        <v>56</v>
      </c>
      <c r="C29" s="1" t="s">
        <v>22</v>
      </c>
      <c r="D29" s="1" t="s">
        <v>23</v>
      </c>
      <c r="E29" s="1">
        <v>4</v>
      </c>
      <c r="F29" s="1">
        <v>11</v>
      </c>
      <c r="G29" s="1" t="s">
        <v>37</v>
      </c>
      <c r="H29" s="1" t="s">
        <v>44</v>
      </c>
      <c r="I29" s="1">
        <v>8</v>
      </c>
      <c r="J29" s="1">
        <v>5</v>
      </c>
      <c r="K29" s="1" t="s">
        <v>48</v>
      </c>
      <c r="L29" s="1" t="s">
        <v>49</v>
      </c>
    </row>
    <row r="30" spans="1:12" x14ac:dyDescent="0.25">
      <c r="A30" s="1" t="s">
        <v>39</v>
      </c>
      <c r="B30" s="1" t="s">
        <v>57</v>
      </c>
      <c r="C30" s="1" t="s">
        <v>22</v>
      </c>
      <c r="D30" s="1" t="s">
        <v>14</v>
      </c>
      <c r="E30" s="1">
        <v>7.5</v>
      </c>
      <c r="F30" s="1">
        <v>3</v>
      </c>
      <c r="G30" s="1" t="s">
        <v>26</v>
      </c>
      <c r="H30" s="1" t="s">
        <v>27</v>
      </c>
      <c r="I30" s="1">
        <v>10</v>
      </c>
      <c r="J30" s="1">
        <v>8</v>
      </c>
      <c r="K30" s="1" t="s">
        <v>19</v>
      </c>
      <c r="L30" s="1" t="s">
        <v>44</v>
      </c>
    </row>
    <row r="31" spans="1:12" x14ac:dyDescent="0.25">
      <c r="A31" s="1" t="s">
        <v>52</v>
      </c>
      <c r="B31" s="1" t="s">
        <v>58</v>
      </c>
      <c r="C31" s="1" t="s">
        <v>13</v>
      </c>
      <c r="D31" s="1" t="s">
        <v>23</v>
      </c>
      <c r="E31" s="1">
        <v>5.5</v>
      </c>
      <c r="F31" s="1">
        <v>6</v>
      </c>
      <c r="G31" s="1" t="s">
        <v>41</v>
      </c>
      <c r="H31" s="1" t="s">
        <v>18</v>
      </c>
      <c r="I31" s="1">
        <v>8</v>
      </c>
      <c r="J31" s="1">
        <v>7</v>
      </c>
      <c r="K31" s="1" t="s">
        <v>19</v>
      </c>
      <c r="L31" s="1" t="s">
        <v>20</v>
      </c>
    </row>
    <row r="32" spans="1:12" x14ac:dyDescent="0.25">
      <c r="A32" s="1" t="s">
        <v>30</v>
      </c>
      <c r="B32" s="1" t="s">
        <v>57</v>
      </c>
      <c r="C32" s="1" t="s">
        <v>22</v>
      </c>
      <c r="D32" s="1" t="s">
        <v>14</v>
      </c>
      <c r="E32" s="1">
        <v>7.5</v>
      </c>
      <c r="F32" s="1">
        <v>6</v>
      </c>
      <c r="G32" s="1" t="s">
        <v>17</v>
      </c>
      <c r="H32" s="1" t="s">
        <v>43</v>
      </c>
      <c r="I32" s="1">
        <v>8</v>
      </c>
      <c r="J32" s="1">
        <v>9</v>
      </c>
      <c r="K32" s="1" t="s">
        <v>28</v>
      </c>
      <c r="L32" s="1" t="s">
        <v>29</v>
      </c>
    </row>
    <row r="33" spans="1:12" x14ac:dyDescent="0.25">
      <c r="A33" s="1" t="s">
        <v>12</v>
      </c>
      <c r="B33" s="1" t="s">
        <v>55</v>
      </c>
      <c r="C33" s="1" t="s">
        <v>13</v>
      </c>
      <c r="D33" s="1" t="s">
        <v>23</v>
      </c>
      <c r="E33" s="1">
        <v>4</v>
      </c>
      <c r="F33" s="1">
        <v>9</v>
      </c>
      <c r="G33" s="1" t="s">
        <v>33</v>
      </c>
      <c r="H33" s="1" t="s">
        <v>44</v>
      </c>
      <c r="I33" s="1">
        <v>8</v>
      </c>
      <c r="J33" s="1">
        <v>6</v>
      </c>
      <c r="K33" s="1" t="s">
        <v>34</v>
      </c>
      <c r="L33" s="1" t="s">
        <v>49</v>
      </c>
    </row>
    <row r="34" spans="1:12" x14ac:dyDescent="0.25">
      <c r="A34" s="1" t="s">
        <v>38</v>
      </c>
      <c r="B34" s="1" t="s">
        <v>56</v>
      </c>
      <c r="C34" s="1" t="s">
        <v>22</v>
      </c>
      <c r="D34" s="1" t="s">
        <v>14</v>
      </c>
      <c r="E34" s="1">
        <v>5.5</v>
      </c>
      <c r="F34" s="1">
        <v>6</v>
      </c>
      <c r="G34" s="1" t="s">
        <v>51</v>
      </c>
      <c r="H34" s="1" t="s">
        <v>27</v>
      </c>
      <c r="I34" s="1">
        <v>5</v>
      </c>
      <c r="J34" s="1">
        <v>8</v>
      </c>
      <c r="K34" s="1" t="s">
        <v>19</v>
      </c>
      <c r="L34" s="1" t="s">
        <v>20</v>
      </c>
    </row>
    <row r="35" spans="1:12" x14ac:dyDescent="0.25">
      <c r="A35" s="1" t="s">
        <v>36</v>
      </c>
      <c r="B35" s="1" t="s">
        <v>54</v>
      </c>
      <c r="C35" s="1" t="s">
        <v>40</v>
      </c>
      <c r="D35" s="1" t="s">
        <v>23</v>
      </c>
      <c r="E35" s="1">
        <v>7.5</v>
      </c>
      <c r="F35" s="1">
        <v>3</v>
      </c>
      <c r="G35" s="1" t="s">
        <v>26</v>
      </c>
      <c r="H35" s="1" t="s">
        <v>43</v>
      </c>
      <c r="I35" s="1">
        <v>10</v>
      </c>
      <c r="J35" s="1">
        <v>9</v>
      </c>
      <c r="K35" s="1" t="s">
        <v>19</v>
      </c>
      <c r="L35" s="1" t="s">
        <v>44</v>
      </c>
    </row>
    <row r="36" spans="1:12" x14ac:dyDescent="0.25">
      <c r="A36" s="1" t="s">
        <v>50</v>
      </c>
      <c r="B36" s="1" t="s">
        <v>58</v>
      </c>
      <c r="C36" s="1" t="s">
        <v>13</v>
      </c>
      <c r="D36" s="1" t="s">
        <v>14</v>
      </c>
      <c r="E36" s="1">
        <v>7.5</v>
      </c>
      <c r="F36" s="1">
        <v>6</v>
      </c>
      <c r="G36" s="1" t="s">
        <v>33</v>
      </c>
      <c r="H36" s="1" t="s">
        <v>27</v>
      </c>
      <c r="I36" s="1">
        <v>5</v>
      </c>
      <c r="J36" s="1">
        <v>8</v>
      </c>
      <c r="K36" s="1" t="s">
        <v>28</v>
      </c>
      <c r="L36" s="1" t="s">
        <v>20</v>
      </c>
    </row>
    <row r="37" spans="1:12" x14ac:dyDescent="0.25">
      <c r="A37" s="1" t="s">
        <v>53</v>
      </c>
      <c r="B37" s="1" t="s">
        <v>55</v>
      </c>
      <c r="C37" s="1" t="s">
        <v>13</v>
      </c>
      <c r="D37" s="1" t="s">
        <v>23</v>
      </c>
      <c r="E37" s="1">
        <v>5.5</v>
      </c>
      <c r="F37" s="1">
        <v>9</v>
      </c>
      <c r="G37" s="1" t="s">
        <v>37</v>
      </c>
      <c r="H37" s="1" t="s">
        <v>18</v>
      </c>
      <c r="I37" s="1">
        <v>8</v>
      </c>
      <c r="J37" s="1">
        <v>6</v>
      </c>
      <c r="K37" s="1" t="s">
        <v>34</v>
      </c>
      <c r="L37" s="1" t="s">
        <v>35</v>
      </c>
    </row>
    <row r="38" spans="1:12" x14ac:dyDescent="0.25">
      <c r="A38" s="1" t="s">
        <v>42</v>
      </c>
      <c r="B38" s="1" t="s">
        <v>56</v>
      </c>
      <c r="C38" s="1" t="s">
        <v>22</v>
      </c>
      <c r="D38" s="1" t="s">
        <v>14</v>
      </c>
      <c r="E38" s="1">
        <v>7.5</v>
      </c>
      <c r="F38" s="1">
        <v>3</v>
      </c>
      <c r="G38" s="1" t="s">
        <v>17</v>
      </c>
      <c r="H38" s="1" t="s">
        <v>27</v>
      </c>
      <c r="I38" s="1">
        <v>8</v>
      </c>
      <c r="J38" s="1">
        <v>8</v>
      </c>
      <c r="K38" s="1" t="s">
        <v>19</v>
      </c>
      <c r="L38" s="1" t="s">
        <v>29</v>
      </c>
    </row>
    <row r="39" spans="1:12" x14ac:dyDescent="0.25">
      <c r="A39" s="1" t="s">
        <v>39</v>
      </c>
      <c r="B39" s="1" t="s">
        <v>54</v>
      </c>
      <c r="C39" s="1" t="s">
        <v>40</v>
      </c>
      <c r="D39" s="1" t="s">
        <v>23</v>
      </c>
      <c r="E39" s="1">
        <v>4</v>
      </c>
      <c r="F39" s="1">
        <v>6</v>
      </c>
      <c r="G39" s="1" t="s">
        <v>41</v>
      </c>
      <c r="H39" s="1" t="s">
        <v>44</v>
      </c>
      <c r="I39" s="1">
        <v>10</v>
      </c>
      <c r="J39" s="1">
        <v>5</v>
      </c>
      <c r="K39" s="1" t="s">
        <v>48</v>
      </c>
      <c r="L39" s="1" t="s">
        <v>49</v>
      </c>
    </row>
    <row r="40" spans="1:12" x14ac:dyDescent="0.25">
      <c r="A40" s="1" t="s">
        <v>21</v>
      </c>
      <c r="B40" s="1" t="s">
        <v>56</v>
      </c>
      <c r="C40" s="1" t="s">
        <v>22</v>
      </c>
      <c r="D40" s="1" t="s">
        <v>14</v>
      </c>
      <c r="E40" s="1">
        <v>5.5</v>
      </c>
      <c r="F40" s="1">
        <v>9</v>
      </c>
      <c r="G40" s="1" t="s">
        <v>17</v>
      </c>
      <c r="H40" s="1" t="s">
        <v>18</v>
      </c>
      <c r="I40" s="1">
        <v>8</v>
      </c>
      <c r="J40" s="1">
        <v>7</v>
      </c>
      <c r="K40" s="1" t="s">
        <v>34</v>
      </c>
      <c r="L40" s="1" t="s">
        <v>35</v>
      </c>
    </row>
    <row r="41" spans="1:12" x14ac:dyDescent="0.25">
      <c r="A41" s="1" t="s">
        <v>12</v>
      </c>
      <c r="B41" s="1" t="s">
        <v>58</v>
      </c>
      <c r="C41" s="1" t="s">
        <v>31</v>
      </c>
      <c r="D41" s="1" t="s">
        <v>14</v>
      </c>
      <c r="E41" s="1">
        <v>7.5</v>
      </c>
      <c r="F41" s="1">
        <v>6</v>
      </c>
      <c r="G41" s="1" t="s">
        <v>33</v>
      </c>
      <c r="H41" s="1" t="s">
        <v>43</v>
      </c>
      <c r="I41" s="1">
        <v>5</v>
      </c>
      <c r="J41" s="1">
        <v>9</v>
      </c>
      <c r="K41" s="1" t="s">
        <v>28</v>
      </c>
      <c r="L41" s="1" t="s">
        <v>20</v>
      </c>
    </row>
    <row r="42" spans="1:12" x14ac:dyDescent="0.25">
      <c r="A42" s="1" t="s">
        <v>30</v>
      </c>
      <c r="B42" s="1" t="s">
        <v>55</v>
      </c>
      <c r="C42" s="1" t="s">
        <v>13</v>
      </c>
      <c r="D42" s="1" t="s">
        <v>23</v>
      </c>
      <c r="E42" s="1">
        <v>5.5</v>
      </c>
      <c r="F42" s="1">
        <v>6</v>
      </c>
      <c r="G42" s="1" t="s">
        <v>17</v>
      </c>
      <c r="H42" s="1" t="s">
        <v>27</v>
      </c>
      <c r="I42" s="1">
        <v>8</v>
      </c>
      <c r="J42" s="1">
        <v>7</v>
      </c>
      <c r="K42" s="1" t="s">
        <v>19</v>
      </c>
      <c r="L42" s="1" t="s">
        <v>20</v>
      </c>
    </row>
    <row r="43" spans="1:12" x14ac:dyDescent="0.25">
      <c r="A43" s="1" t="s">
        <v>52</v>
      </c>
      <c r="B43" s="1" t="s">
        <v>57</v>
      </c>
      <c r="C43" s="1" t="s">
        <v>22</v>
      </c>
      <c r="D43" s="1" t="s">
        <v>23</v>
      </c>
      <c r="E43" s="1">
        <v>4</v>
      </c>
      <c r="F43" s="1">
        <v>11</v>
      </c>
      <c r="G43" s="1" t="s">
        <v>37</v>
      </c>
      <c r="H43" s="1" t="s">
        <v>18</v>
      </c>
      <c r="I43" s="1">
        <v>10</v>
      </c>
      <c r="J43" s="1">
        <v>5</v>
      </c>
      <c r="K43" s="1" t="s">
        <v>48</v>
      </c>
      <c r="L43" s="1" t="s">
        <v>49</v>
      </c>
    </row>
    <row r="44" spans="1:12" x14ac:dyDescent="0.25">
      <c r="A44" s="1" t="s">
        <v>38</v>
      </c>
      <c r="B44" s="1" t="s">
        <v>56</v>
      </c>
      <c r="C44" s="1" t="s">
        <v>22</v>
      </c>
      <c r="D44" s="1" t="s">
        <v>14</v>
      </c>
      <c r="E44" s="1">
        <v>7.5</v>
      </c>
      <c r="F44" s="1">
        <v>3</v>
      </c>
      <c r="G44" s="1" t="s">
        <v>26</v>
      </c>
      <c r="H44" s="1" t="s">
        <v>43</v>
      </c>
      <c r="I44" s="1">
        <v>8</v>
      </c>
      <c r="J44" s="1">
        <v>10</v>
      </c>
      <c r="K44" s="1" t="s">
        <v>28</v>
      </c>
      <c r="L44" s="1" t="s">
        <v>44</v>
      </c>
    </row>
    <row r="45" spans="1:12" x14ac:dyDescent="0.25">
      <c r="A45" s="1" t="s">
        <v>45</v>
      </c>
      <c r="B45" s="1" t="s">
        <v>58</v>
      </c>
      <c r="C45" s="1" t="s">
        <v>13</v>
      </c>
      <c r="D45" s="1" t="s">
        <v>23</v>
      </c>
      <c r="E45" s="1">
        <v>5.5</v>
      </c>
      <c r="F45" s="1">
        <v>9</v>
      </c>
      <c r="G45" s="1" t="s">
        <v>33</v>
      </c>
      <c r="H45" s="1" t="s">
        <v>44</v>
      </c>
      <c r="I45" s="1">
        <v>5</v>
      </c>
      <c r="J45" s="1">
        <v>6</v>
      </c>
      <c r="K45" s="1" t="s">
        <v>34</v>
      </c>
      <c r="L45" s="1" t="s">
        <v>49</v>
      </c>
    </row>
    <row r="46" spans="1:12" x14ac:dyDescent="0.25">
      <c r="A46" s="1" t="s">
        <v>39</v>
      </c>
      <c r="B46" s="1" t="s">
        <v>56</v>
      </c>
      <c r="C46" s="1" t="s">
        <v>22</v>
      </c>
      <c r="D46" s="1" t="s">
        <v>14</v>
      </c>
      <c r="E46" s="1">
        <v>7.5</v>
      </c>
      <c r="F46" s="1">
        <v>6</v>
      </c>
      <c r="G46" s="1" t="s">
        <v>17</v>
      </c>
      <c r="H46" s="1" t="s">
        <v>27</v>
      </c>
      <c r="I46" s="1">
        <v>8</v>
      </c>
      <c r="J46" s="1">
        <v>8</v>
      </c>
      <c r="K46" s="1" t="s">
        <v>19</v>
      </c>
      <c r="L46" s="1" t="s">
        <v>29</v>
      </c>
    </row>
    <row r="47" spans="1:12" x14ac:dyDescent="0.25">
      <c r="A47" s="1" t="s">
        <v>42</v>
      </c>
      <c r="B47" s="1" t="s">
        <v>57</v>
      </c>
      <c r="C47" s="1" t="s">
        <v>22</v>
      </c>
      <c r="D47" s="1" t="s">
        <v>23</v>
      </c>
      <c r="E47" s="1">
        <v>5.5</v>
      </c>
      <c r="F47" s="1">
        <v>6</v>
      </c>
      <c r="G47" s="1" t="s">
        <v>26</v>
      </c>
      <c r="H47" s="1" t="s">
        <v>18</v>
      </c>
      <c r="I47" s="1">
        <v>10</v>
      </c>
      <c r="J47" s="1">
        <v>7</v>
      </c>
      <c r="K47" s="1" t="s">
        <v>34</v>
      </c>
      <c r="L47" s="1" t="s">
        <v>20</v>
      </c>
    </row>
    <row r="48" spans="1:12" x14ac:dyDescent="0.25">
      <c r="A48" s="1" t="s">
        <v>36</v>
      </c>
      <c r="B48" s="1" t="s">
        <v>55</v>
      </c>
      <c r="C48" s="1" t="s">
        <v>13</v>
      </c>
      <c r="D48" s="1" t="s">
        <v>14</v>
      </c>
      <c r="E48" s="1">
        <v>7.5</v>
      </c>
      <c r="F48" s="1">
        <v>3</v>
      </c>
      <c r="G48" s="1" t="s">
        <v>41</v>
      </c>
      <c r="H48" s="1" t="s">
        <v>43</v>
      </c>
      <c r="I48" s="1">
        <v>8</v>
      </c>
      <c r="J48" s="1">
        <v>9</v>
      </c>
      <c r="K48" s="1" t="s">
        <v>28</v>
      </c>
      <c r="L48" s="1" t="s">
        <v>44</v>
      </c>
    </row>
    <row r="49" spans="1:12" x14ac:dyDescent="0.25">
      <c r="A49" s="1" t="s">
        <v>21</v>
      </c>
      <c r="B49" s="1" t="s">
        <v>54</v>
      </c>
      <c r="C49" s="1" t="s">
        <v>40</v>
      </c>
      <c r="D49" s="1" t="s">
        <v>23</v>
      </c>
      <c r="E49" s="1">
        <v>5.5</v>
      </c>
      <c r="F49" s="1">
        <v>9</v>
      </c>
      <c r="G49" s="1" t="s">
        <v>17</v>
      </c>
      <c r="H49" s="1" t="s">
        <v>18</v>
      </c>
      <c r="I49" s="1">
        <v>10</v>
      </c>
      <c r="J49" s="1">
        <v>6</v>
      </c>
      <c r="K49" s="1" t="s">
        <v>34</v>
      </c>
      <c r="L49" s="1" t="s">
        <v>35</v>
      </c>
    </row>
    <row r="50" spans="1:12" x14ac:dyDescent="0.25">
      <c r="A50" s="1" t="s">
        <v>59</v>
      </c>
      <c r="B50" s="1" t="s">
        <v>55</v>
      </c>
      <c r="C50" s="1" t="s">
        <v>13</v>
      </c>
      <c r="D50" s="1" t="s">
        <v>14</v>
      </c>
      <c r="E50" s="1">
        <v>7.5</v>
      </c>
      <c r="F50" s="1">
        <v>6</v>
      </c>
      <c r="G50" s="1" t="s">
        <v>51</v>
      </c>
      <c r="H50" s="1" t="s">
        <v>27</v>
      </c>
      <c r="I50" s="1">
        <v>5</v>
      </c>
      <c r="J50" s="1">
        <v>8</v>
      </c>
      <c r="K50" s="1" t="s">
        <v>19</v>
      </c>
      <c r="L50" s="1" t="s">
        <v>20</v>
      </c>
    </row>
    <row r="51" spans="1:12" x14ac:dyDescent="0.25">
      <c r="A51" s="1" t="s">
        <v>50</v>
      </c>
      <c r="B51" s="1" t="s">
        <v>56</v>
      </c>
      <c r="C51" s="1" t="s">
        <v>22</v>
      </c>
      <c r="D51" s="1" t="s">
        <v>23</v>
      </c>
      <c r="E51" s="1">
        <v>7.5</v>
      </c>
      <c r="F51" s="1">
        <v>3</v>
      </c>
      <c r="G51" s="1" t="s">
        <v>26</v>
      </c>
      <c r="H51" s="1" t="s">
        <v>43</v>
      </c>
      <c r="I51" s="1">
        <v>8</v>
      </c>
      <c r="J51" s="1">
        <v>9</v>
      </c>
      <c r="K51" s="1" t="s">
        <v>28</v>
      </c>
      <c r="L51" s="1" t="s">
        <v>44</v>
      </c>
    </row>
    <row r="52" spans="1:12" x14ac:dyDescent="0.25">
      <c r="A52" s="1" t="s">
        <v>12</v>
      </c>
      <c r="B52" s="1" t="s">
        <v>57</v>
      </c>
      <c r="C52" s="1" t="s">
        <v>22</v>
      </c>
      <c r="D52" s="1" t="s">
        <v>14</v>
      </c>
      <c r="E52" s="1">
        <v>5.5</v>
      </c>
      <c r="F52" s="1">
        <v>9</v>
      </c>
      <c r="G52" s="1" t="s">
        <v>33</v>
      </c>
      <c r="H52" s="1" t="s">
        <v>18</v>
      </c>
      <c r="I52" s="1">
        <v>8</v>
      </c>
      <c r="J52" s="1">
        <v>6</v>
      </c>
      <c r="K52" s="1" t="s">
        <v>34</v>
      </c>
      <c r="L52" s="1" t="s">
        <v>35</v>
      </c>
    </row>
    <row r="53" spans="1:12" x14ac:dyDescent="0.25">
      <c r="A53" s="1" t="s">
        <v>30</v>
      </c>
      <c r="B53" s="1" t="s">
        <v>58</v>
      </c>
      <c r="C53" s="1" t="s">
        <v>31</v>
      </c>
      <c r="D53" s="1" t="s">
        <v>14</v>
      </c>
      <c r="E53" s="1">
        <v>7.5</v>
      </c>
      <c r="F53" s="1">
        <v>6</v>
      </c>
      <c r="G53" s="1" t="s">
        <v>17</v>
      </c>
      <c r="H53" s="1" t="s">
        <v>27</v>
      </c>
      <c r="I53" s="1">
        <v>5</v>
      </c>
      <c r="J53" s="1">
        <v>8</v>
      </c>
      <c r="K53" s="1" t="s">
        <v>28</v>
      </c>
      <c r="L53" s="1" t="s">
        <v>29</v>
      </c>
    </row>
    <row r="54" spans="1:12" x14ac:dyDescent="0.25">
      <c r="A54" s="1" t="s">
        <v>52</v>
      </c>
      <c r="B54" s="1" t="s">
        <v>56</v>
      </c>
      <c r="C54" s="1" t="s">
        <v>22</v>
      </c>
      <c r="D54" s="1" t="s">
        <v>23</v>
      </c>
      <c r="E54" s="1">
        <v>4</v>
      </c>
      <c r="F54" s="1">
        <v>11</v>
      </c>
      <c r="G54" s="1" t="s">
        <v>41</v>
      </c>
      <c r="H54" s="1" t="s">
        <v>44</v>
      </c>
      <c r="I54" s="1">
        <v>10</v>
      </c>
      <c r="J54" s="1">
        <v>5</v>
      </c>
      <c r="K54" s="1" t="s">
        <v>48</v>
      </c>
      <c r="L54" s="1" t="s">
        <v>49</v>
      </c>
    </row>
    <row r="55" spans="1:12" x14ac:dyDescent="0.25">
      <c r="A55" s="1" t="s">
        <v>38</v>
      </c>
      <c r="B55" s="1" t="s">
        <v>57</v>
      </c>
      <c r="C55" s="1" t="s">
        <v>22</v>
      </c>
      <c r="D55" s="1" t="s">
        <v>14</v>
      </c>
      <c r="E55" s="1">
        <v>5.5</v>
      </c>
      <c r="F55" s="1">
        <v>6</v>
      </c>
      <c r="G55" s="1" t="s">
        <v>17</v>
      </c>
      <c r="H55" s="1" t="s">
        <v>27</v>
      </c>
      <c r="I55" s="1">
        <v>8</v>
      </c>
      <c r="J55" s="1">
        <v>7</v>
      </c>
      <c r="K55" s="1" t="s">
        <v>19</v>
      </c>
      <c r="L55" s="1" t="s">
        <v>20</v>
      </c>
    </row>
    <row r="56" spans="1:12" x14ac:dyDescent="0.25">
      <c r="A56" s="1" t="s">
        <v>53</v>
      </c>
      <c r="B56" s="1" t="s">
        <v>58</v>
      </c>
      <c r="C56" s="1" t="s">
        <v>13</v>
      </c>
      <c r="D56" s="1" t="s">
        <v>23</v>
      </c>
      <c r="E56" s="1">
        <v>7.5</v>
      </c>
      <c r="F56" s="1">
        <v>3</v>
      </c>
      <c r="G56" s="1" t="s">
        <v>26</v>
      </c>
      <c r="H56" s="1" t="s">
        <v>43</v>
      </c>
      <c r="I56" s="1">
        <v>5</v>
      </c>
      <c r="J56" s="1">
        <v>9</v>
      </c>
      <c r="K56" s="1" t="s">
        <v>28</v>
      </c>
      <c r="L56" s="1" t="s">
        <v>44</v>
      </c>
    </row>
    <row r="57" spans="1:12" x14ac:dyDescent="0.25">
      <c r="A57" s="1" t="s">
        <v>39</v>
      </c>
      <c r="B57" s="1" t="s">
        <v>55</v>
      </c>
      <c r="C57" s="1" t="s">
        <v>13</v>
      </c>
      <c r="D57" s="1" t="s">
        <v>14</v>
      </c>
      <c r="E57" s="1">
        <v>5.5</v>
      </c>
      <c r="F57" s="1">
        <v>9</v>
      </c>
      <c r="G57" s="1" t="s">
        <v>33</v>
      </c>
      <c r="H57" s="1" t="s">
        <v>18</v>
      </c>
      <c r="I57" s="1">
        <v>8</v>
      </c>
      <c r="J57" s="1">
        <v>6</v>
      </c>
      <c r="K57" s="1" t="s">
        <v>34</v>
      </c>
      <c r="L57" s="1" t="s">
        <v>35</v>
      </c>
    </row>
    <row r="58" spans="1:12" x14ac:dyDescent="0.25">
      <c r="A58" s="1" t="s">
        <v>36</v>
      </c>
      <c r="B58" s="1" t="s">
        <v>56</v>
      </c>
      <c r="C58" s="1" t="s">
        <v>22</v>
      </c>
      <c r="D58" s="1" t="s">
        <v>23</v>
      </c>
      <c r="E58" s="1">
        <v>7.5</v>
      </c>
      <c r="F58" s="1">
        <v>6</v>
      </c>
      <c r="G58" s="1" t="s">
        <v>37</v>
      </c>
      <c r="H58" s="1" t="s">
        <v>27</v>
      </c>
      <c r="I58" s="1">
        <v>8</v>
      </c>
      <c r="J58" s="1">
        <v>8</v>
      </c>
      <c r="K58" s="1" t="s">
        <v>19</v>
      </c>
      <c r="L58" s="1" t="s">
        <v>20</v>
      </c>
    </row>
    <row r="59" spans="1:12" x14ac:dyDescent="0.25">
      <c r="A59" s="1" t="s">
        <v>42</v>
      </c>
      <c r="B59" s="1" t="s">
        <v>54</v>
      </c>
      <c r="C59" s="1" t="s">
        <v>40</v>
      </c>
      <c r="D59" s="1" t="s">
        <v>14</v>
      </c>
      <c r="E59" s="1">
        <v>5.5</v>
      </c>
      <c r="F59" s="1">
        <v>6</v>
      </c>
      <c r="G59" s="1" t="s">
        <v>17</v>
      </c>
      <c r="H59" s="1" t="s">
        <v>18</v>
      </c>
      <c r="I59" s="1">
        <v>10</v>
      </c>
      <c r="J59" s="1">
        <v>7</v>
      </c>
      <c r="K59" s="1" t="s">
        <v>34</v>
      </c>
      <c r="L59" s="1" t="s">
        <v>35</v>
      </c>
    </row>
    <row r="60" spans="1:12" x14ac:dyDescent="0.25">
      <c r="A60" s="1" t="s">
        <v>21</v>
      </c>
      <c r="B60" s="1" t="s">
        <v>55</v>
      </c>
      <c r="C60" s="1" t="s">
        <v>13</v>
      </c>
      <c r="D60" s="1" t="s">
        <v>23</v>
      </c>
      <c r="E60" s="1">
        <v>7.5</v>
      </c>
      <c r="F60" s="1">
        <v>3</v>
      </c>
      <c r="G60" s="1" t="s">
        <v>26</v>
      </c>
      <c r="H60" s="1" t="s">
        <v>43</v>
      </c>
      <c r="I60" s="1">
        <v>5</v>
      </c>
      <c r="J60" s="1">
        <v>9</v>
      </c>
      <c r="K60" s="1" t="s">
        <v>28</v>
      </c>
      <c r="L60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6BFC-8953-40B2-B2D8-1494B63264F7}">
  <dimension ref="A1:N85"/>
  <sheetViews>
    <sheetView showGridLines="0" topLeftCell="A58" zoomScale="110" zoomScaleNormal="110" workbookViewId="0">
      <selection activeCell="G77" sqref="G77"/>
    </sheetView>
  </sheetViews>
  <sheetFormatPr baseColWidth="10" defaultRowHeight="13.2" x14ac:dyDescent="0.25"/>
  <cols>
    <col min="1" max="1" width="52.88671875" customWidth="1"/>
    <col min="2" max="2" width="27.5546875" bestFit="1" customWidth="1"/>
    <col min="3" max="3" width="28.21875" bestFit="1" customWidth="1"/>
    <col min="5" max="5" width="16.21875" customWidth="1"/>
    <col min="6" max="6" width="11.44140625" customWidth="1"/>
    <col min="7" max="7" width="36.5546875" bestFit="1" customWidth="1"/>
    <col min="8" max="8" width="25.6640625" bestFit="1" customWidth="1"/>
    <col min="9" max="9" width="12.21875" customWidth="1"/>
    <col min="10" max="10" width="14.5546875" customWidth="1"/>
    <col min="11" max="11" width="11.109375" customWidth="1"/>
    <col min="12" max="12" width="19.21875" customWidth="1"/>
  </cols>
  <sheetData>
    <row r="1" spans="1:14" ht="37.200000000000003" customHeight="1" x14ac:dyDescent="0.25">
      <c r="A1" s="82" t="s">
        <v>69</v>
      </c>
      <c r="B1" s="82"/>
      <c r="C1" s="82"/>
      <c r="D1" s="82"/>
      <c r="E1" s="82"/>
      <c r="G1" s="81" t="s">
        <v>71</v>
      </c>
      <c r="H1" s="81"/>
      <c r="I1" s="81"/>
      <c r="J1" s="81"/>
      <c r="K1" s="81"/>
      <c r="L1" s="81"/>
      <c r="M1" s="81"/>
      <c r="N1" s="81"/>
    </row>
    <row r="3" spans="1:14" ht="17.399999999999999" x14ac:dyDescent="0.3">
      <c r="A3" s="88" t="s">
        <v>70</v>
      </c>
      <c r="C3" s="3"/>
      <c r="E3" s="3"/>
    </row>
    <row r="4" spans="1:14" x14ac:dyDescent="0.25">
      <c r="A4" s="8"/>
    </row>
    <row r="5" spans="1:14" x14ac:dyDescent="0.25">
      <c r="A5" s="104" t="s">
        <v>61</v>
      </c>
      <c r="B5" s="103" t="s">
        <v>62</v>
      </c>
      <c r="C5" s="103" t="s">
        <v>64</v>
      </c>
      <c r="D5" s="103" t="s">
        <v>63</v>
      </c>
      <c r="E5" s="103" t="s">
        <v>65</v>
      </c>
      <c r="G5" s="7" t="s">
        <v>61</v>
      </c>
      <c r="H5" s="4" t="s">
        <v>62</v>
      </c>
    </row>
    <row r="6" spans="1:14" x14ac:dyDescent="0.25">
      <c r="A6" s="105" t="s">
        <v>25</v>
      </c>
      <c r="B6" s="30">
        <v>15</v>
      </c>
      <c r="C6" s="31">
        <v>0.25423728813559321</v>
      </c>
      <c r="D6" s="32">
        <f>B6</f>
        <v>15</v>
      </c>
      <c r="E6" s="33">
        <f>C6</f>
        <v>0.25423728813559321</v>
      </c>
      <c r="G6" s="4" t="s">
        <v>25</v>
      </c>
      <c r="H6" s="7">
        <v>15</v>
      </c>
    </row>
    <row r="7" spans="1:14" x14ac:dyDescent="0.25">
      <c r="A7" s="106" t="s">
        <v>16</v>
      </c>
      <c r="B7" s="34">
        <v>26</v>
      </c>
      <c r="C7" s="35">
        <v>0.44067796610169491</v>
      </c>
      <c r="D7" s="32">
        <f>D6+B7</f>
        <v>41</v>
      </c>
      <c r="E7" s="33">
        <f>C6+C7</f>
        <v>0.69491525423728806</v>
      </c>
      <c r="G7" s="5" t="s">
        <v>16</v>
      </c>
      <c r="H7" s="20">
        <v>26</v>
      </c>
    </row>
    <row r="8" spans="1:14" x14ac:dyDescent="0.25">
      <c r="A8" s="106" t="s">
        <v>32</v>
      </c>
      <c r="B8" s="34">
        <v>12</v>
      </c>
      <c r="C8" s="35">
        <v>0.20338983050847459</v>
      </c>
      <c r="D8" s="32">
        <f>D7+B8</f>
        <v>53</v>
      </c>
      <c r="E8" s="33">
        <f>E7+C8</f>
        <v>0.89830508474576265</v>
      </c>
      <c r="G8" s="5" t="s">
        <v>32</v>
      </c>
      <c r="H8" s="20">
        <v>12</v>
      </c>
    </row>
    <row r="9" spans="1:14" x14ac:dyDescent="0.25">
      <c r="A9" s="106" t="s">
        <v>47</v>
      </c>
      <c r="B9" s="34">
        <v>6</v>
      </c>
      <c r="C9" s="36">
        <v>0.10169491525423729</v>
      </c>
      <c r="D9" s="32">
        <f>D8+B9</f>
        <v>59</v>
      </c>
      <c r="E9" s="33">
        <f>E8+C9</f>
        <v>1</v>
      </c>
      <c r="G9" s="5" t="s">
        <v>47</v>
      </c>
      <c r="H9" s="20">
        <v>6</v>
      </c>
    </row>
    <row r="10" spans="1:14" x14ac:dyDescent="0.25">
      <c r="A10" s="103" t="s">
        <v>60</v>
      </c>
      <c r="B10" s="29">
        <v>59</v>
      </c>
      <c r="C10" s="37">
        <v>1</v>
      </c>
      <c r="D10" s="29"/>
      <c r="E10" s="38"/>
      <c r="G10" s="6" t="s">
        <v>60</v>
      </c>
      <c r="H10" s="21">
        <v>59</v>
      </c>
    </row>
    <row r="12" spans="1:14" ht="17.399999999999999" x14ac:dyDescent="0.3">
      <c r="A12" s="88" t="s">
        <v>73</v>
      </c>
    </row>
    <row r="14" spans="1:14" x14ac:dyDescent="0.25">
      <c r="A14" s="103" t="s">
        <v>74</v>
      </c>
      <c r="B14" s="103" t="s">
        <v>62</v>
      </c>
      <c r="C14" s="103" t="s">
        <v>64</v>
      </c>
      <c r="D14" s="104" t="s">
        <v>63</v>
      </c>
      <c r="E14" s="104" t="s">
        <v>65</v>
      </c>
    </row>
    <row r="15" spans="1:14" x14ac:dyDescent="0.25">
      <c r="A15" s="105" t="s">
        <v>15</v>
      </c>
      <c r="B15" s="26">
        <v>23</v>
      </c>
      <c r="C15" s="39">
        <v>0.38983050847457629</v>
      </c>
      <c r="D15" s="40">
        <f>B15</f>
        <v>23</v>
      </c>
      <c r="E15" s="41">
        <f>C15</f>
        <v>0.38983050847457629</v>
      </c>
    </row>
    <row r="16" spans="1:14" x14ac:dyDescent="0.25">
      <c r="A16" s="106" t="s">
        <v>24</v>
      </c>
      <c r="B16" s="27">
        <v>28</v>
      </c>
      <c r="C16" s="42">
        <v>0.47457627118644069</v>
      </c>
      <c r="D16" s="40">
        <f>D15+B16</f>
        <v>51</v>
      </c>
      <c r="E16" s="41">
        <f>E15+C16</f>
        <v>0.86440677966101698</v>
      </c>
    </row>
    <row r="17" spans="1:10" x14ac:dyDescent="0.25">
      <c r="A17" s="106" t="s">
        <v>46</v>
      </c>
      <c r="B17" s="27">
        <v>8</v>
      </c>
      <c r="C17" s="42">
        <v>0.13559322033898305</v>
      </c>
      <c r="D17" s="43">
        <f>D16+B17</f>
        <v>59</v>
      </c>
      <c r="E17" s="44">
        <f>E16+C17</f>
        <v>1</v>
      </c>
    </row>
    <row r="18" spans="1:10" x14ac:dyDescent="0.25">
      <c r="A18" s="103" t="s">
        <v>60</v>
      </c>
      <c r="B18" s="28">
        <v>59</v>
      </c>
      <c r="C18" s="45">
        <v>1</v>
      </c>
      <c r="D18" s="46"/>
      <c r="E18" s="46"/>
    </row>
    <row r="20" spans="1:10" ht="17.399999999999999" x14ac:dyDescent="0.25">
      <c r="A20" s="89" t="s">
        <v>72</v>
      </c>
    </row>
    <row r="22" spans="1:10" x14ac:dyDescent="0.25">
      <c r="A22" s="91" t="s">
        <v>68</v>
      </c>
      <c r="B22" s="110" t="s">
        <v>66</v>
      </c>
      <c r="C22" s="111"/>
      <c r="D22" s="111"/>
      <c r="E22" s="111"/>
    </row>
    <row r="23" spans="1:10" x14ac:dyDescent="0.25">
      <c r="A23" s="109" t="s">
        <v>67</v>
      </c>
      <c r="B23" s="112" t="s">
        <v>15</v>
      </c>
      <c r="C23" s="112" t="s">
        <v>24</v>
      </c>
      <c r="D23" s="102" t="s">
        <v>46</v>
      </c>
      <c r="E23" s="102" t="s">
        <v>60</v>
      </c>
    </row>
    <row r="24" spans="1:10" x14ac:dyDescent="0.25">
      <c r="A24" s="107" t="s">
        <v>25</v>
      </c>
      <c r="B24" s="26">
        <v>1</v>
      </c>
      <c r="C24" s="26">
        <v>14</v>
      </c>
      <c r="D24" s="26"/>
      <c r="E24" s="26">
        <v>15</v>
      </c>
      <c r="J24" s="13"/>
    </row>
    <row r="25" spans="1:10" x14ac:dyDescent="0.25">
      <c r="A25" s="108" t="s">
        <v>16</v>
      </c>
      <c r="B25" s="27">
        <v>11</v>
      </c>
      <c r="C25" s="27">
        <v>14</v>
      </c>
      <c r="D25" s="27">
        <v>1</v>
      </c>
      <c r="E25" s="27">
        <v>26</v>
      </c>
    </row>
    <row r="26" spans="1:10" x14ac:dyDescent="0.25">
      <c r="A26" s="108" t="s">
        <v>32</v>
      </c>
      <c r="B26" s="27">
        <v>10</v>
      </c>
      <c r="C26" s="27"/>
      <c r="D26" s="27">
        <v>2</v>
      </c>
      <c r="E26" s="27">
        <v>12</v>
      </c>
    </row>
    <row r="27" spans="1:10" x14ac:dyDescent="0.25">
      <c r="A27" s="108" t="s">
        <v>47</v>
      </c>
      <c r="B27" s="27">
        <v>1</v>
      </c>
      <c r="C27" s="27"/>
      <c r="D27" s="27">
        <v>5</v>
      </c>
      <c r="E27" s="27">
        <v>6</v>
      </c>
    </row>
    <row r="28" spans="1:10" x14ac:dyDescent="0.25">
      <c r="A28" s="104" t="s">
        <v>60</v>
      </c>
      <c r="B28" s="28">
        <v>23</v>
      </c>
      <c r="C28" s="28">
        <v>28</v>
      </c>
      <c r="D28" s="28">
        <v>8</v>
      </c>
      <c r="E28" s="28">
        <v>59</v>
      </c>
    </row>
    <row r="30" spans="1:10" ht="17.399999999999999" x14ac:dyDescent="0.3">
      <c r="A30" s="88" t="s">
        <v>75</v>
      </c>
    </row>
    <row r="31" spans="1:10" x14ac:dyDescent="0.25">
      <c r="G31" s="18" t="s">
        <v>74</v>
      </c>
      <c r="H31" s="9" t="s">
        <v>62</v>
      </c>
    </row>
    <row r="32" spans="1:10" x14ac:dyDescent="0.25">
      <c r="A32" s="103" t="s">
        <v>85</v>
      </c>
      <c r="B32" s="103" t="s">
        <v>62</v>
      </c>
      <c r="C32" s="103" t="s">
        <v>84</v>
      </c>
      <c r="G32" s="4" t="s">
        <v>15</v>
      </c>
      <c r="H32" s="10">
        <v>23</v>
      </c>
    </row>
    <row r="33" spans="1:14" x14ac:dyDescent="0.25">
      <c r="A33" s="103" t="s">
        <v>14</v>
      </c>
      <c r="B33" s="28">
        <v>31</v>
      </c>
      <c r="C33" s="45">
        <v>0.52542372881355937</v>
      </c>
      <c r="G33" s="5" t="s">
        <v>24</v>
      </c>
      <c r="H33" s="11">
        <v>28</v>
      </c>
    </row>
    <row r="34" spans="1:14" x14ac:dyDescent="0.25">
      <c r="A34" s="105" t="s">
        <v>31</v>
      </c>
      <c r="B34" s="26">
        <v>4</v>
      </c>
      <c r="C34" s="39">
        <v>6.7796610169491525E-2</v>
      </c>
      <c r="G34" s="5" t="s">
        <v>46</v>
      </c>
      <c r="H34" s="11">
        <v>8</v>
      </c>
    </row>
    <row r="35" spans="1:14" x14ac:dyDescent="0.25">
      <c r="A35" s="106" t="s">
        <v>13</v>
      </c>
      <c r="B35" s="27">
        <v>10</v>
      </c>
      <c r="C35" s="42">
        <v>0.16949152542372881</v>
      </c>
      <c r="G35" s="6" t="s">
        <v>60</v>
      </c>
      <c r="H35" s="12">
        <v>59</v>
      </c>
    </row>
    <row r="36" spans="1:14" x14ac:dyDescent="0.25">
      <c r="A36" s="106" t="s">
        <v>22</v>
      </c>
      <c r="B36" s="27">
        <v>15</v>
      </c>
      <c r="C36" s="42">
        <v>0.25423728813559321</v>
      </c>
    </row>
    <row r="37" spans="1:14" x14ac:dyDescent="0.25">
      <c r="A37" s="106" t="s">
        <v>40</v>
      </c>
      <c r="B37" s="27">
        <v>2</v>
      </c>
      <c r="C37" s="42">
        <v>3.3898305084745763E-2</v>
      </c>
    </row>
    <row r="38" spans="1:14" x14ac:dyDescent="0.25">
      <c r="A38" s="103" t="s">
        <v>23</v>
      </c>
      <c r="B38" s="28">
        <v>28</v>
      </c>
      <c r="C38" s="45">
        <v>0.47457627118644069</v>
      </c>
    </row>
    <row r="39" spans="1:14" x14ac:dyDescent="0.25">
      <c r="A39" s="105" t="s">
        <v>13</v>
      </c>
      <c r="B39" s="26">
        <v>12</v>
      </c>
      <c r="C39" s="39">
        <v>0.20338983050847459</v>
      </c>
      <c r="J39" s="16" t="s">
        <v>85</v>
      </c>
      <c r="K39" s="16" t="s">
        <v>31</v>
      </c>
      <c r="L39" s="16" t="s">
        <v>13</v>
      </c>
      <c r="M39" s="16" t="s">
        <v>22</v>
      </c>
      <c r="N39" s="16" t="s">
        <v>40</v>
      </c>
    </row>
    <row r="40" spans="1:14" x14ac:dyDescent="0.25">
      <c r="A40" s="106" t="s">
        <v>22</v>
      </c>
      <c r="B40" s="27">
        <v>10</v>
      </c>
      <c r="C40" s="42">
        <v>0.16949152542372881</v>
      </c>
      <c r="J40" s="16" t="s">
        <v>14</v>
      </c>
      <c r="K40" s="16">
        <v>4</v>
      </c>
      <c r="L40" s="16">
        <v>10</v>
      </c>
      <c r="M40" s="16">
        <v>15</v>
      </c>
      <c r="N40" s="16">
        <v>2</v>
      </c>
    </row>
    <row r="41" spans="1:14" x14ac:dyDescent="0.25">
      <c r="A41" s="106" t="s">
        <v>40</v>
      </c>
      <c r="B41" s="27">
        <v>6</v>
      </c>
      <c r="C41" s="42">
        <v>0.10169491525423729</v>
      </c>
      <c r="J41" s="16" t="s">
        <v>23</v>
      </c>
      <c r="K41" s="16">
        <v>0</v>
      </c>
      <c r="L41" s="16">
        <v>12</v>
      </c>
      <c r="M41" s="16">
        <v>10</v>
      </c>
      <c r="N41" s="16">
        <v>6</v>
      </c>
    </row>
    <row r="42" spans="1:14" x14ac:dyDescent="0.25">
      <c r="A42" s="103" t="s">
        <v>60</v>
      </c>
      <c r="B42" s="28">
        <v>59</v>
      </c>
      <c r="C42" s="45">
        <v>1</v>
      </c>
    </row>
    <row r="44" spans="1:14" ht="17.399999999999999" x14ac:dyDescent="0.3">
      <c r="A44" s="88" t="s">
        <v>103</v>
      </c>
      <c r="K44" s="16" t="s">
        <v>10</v>
      </c>
      <c r="L44" s="9" t="s">
        <v>64</v>
      </c>
    </row>
    <row r="45" spans="1:14" x14ac:dyDescent="0.25">
      <c r="K45" s="24" t="s">
        <v>48</v>
      </c>
      <c r="L45" s="22">
        <v>0.13559322033898305</v>
      </c>
    </row>
    <row r="46" spans="1:14" x14ac:dyDescent="0.25">
      <c r="A46" s="91" t="s">
        <v>99</v>
      </c>
      <c r="B46" s="103" t="s">
        <v>62</v>
      </c>
      <c r="C46" s="103" t="s">
        <v>64</v>
      </c>
      <c r="K46" s="14" t="s">
        <v>34</v>
      </c>
      <c r="L46" s="15">
        <v>0.2711864406779661</v>
      </c>
    </row>
    <row r="47" spans="1:14" x14ac:dyDescent="0.25">
      <c r="A47" s="104" t="s">
        <v>14</v>
      </c>
      <c r="B47" s="120">
        <v>31</v>
      </c>
      <c r="C47" s="121">
        <v>0.52542372881355937</v>
      </c>
      <c r="K47" s="14" t="s">
        <v>28</v>
      </c>
      <c r="L47" s="15">
        <v>0.28813559322033899</v>
      </c>
    </row>
    <row r="48" spans="1:14" x14ac:dyDescent="0.25">
      <c r="A48" s="107" t="s">
        <v>25</v>
      </c>
      <c r="B48" s="115">
        <v>5</v>
      </c>
      <c r="C48" s="116">
        <v>8.4745762711864403E-2</v>
      </c>
      <c r="K48" s="17" t="s">
        <v>19</v>
      </c>
      <c r="L48" s="23">
        <v>0.30508474576271188</v>
      </c>
    </row>
    <row r="49" spans="1:14" x14ac:dyDescent="0.25">
      <c r="A49" s="108" t="s">
        <v>16</v>
      </c>
      <c r="B49" s="117">
        <v>20</v>
      </c>
      <c r="C49" s="35">
        <v>0.33898305084745761</v>
      </c>
    </row>
    <row r="50" spans="1:14" x14ac:dyDescent="0.25">
      <c r="A50" s="108" t="s">
        <v>32</v>
      </c>
      <c r="B50" s="117">
        <v>6</v>
      </c>
      <c r="C50" s="35">
        <v>0.10169491525423729</v>
      </c>
    </row>
    <row r="51" spans="1:14" x14ac:dyDescent="0.25">
      <c r="A51" s="104" t="s">
        <v>23</v>
      </c>
      <c r="B51" s="118">
        <v>28</v>
      </c>
      <c r="C51" s="119">
        <v>0.47457627118644069</v>
      </c>
    </row>
    <row r="52" spans="1:14" x14ac:dyDescent="0.25">
      <c r="A52" s="107" t="s">
        <v>25</v>
      </c>
      <c r="B52" s="115">
        <v>10</v>
      </c>
      <c r="C52" s="31">
        <v>0.16949152542372881</v>
      </c>
    </row>
    <row r="53" spans="1:14" x14ac:dyDescent="0.25">
      <c r="A53" s="108" t="s">
        <v>16</v>
      </c>
      <c r="B53" s="117">
        <v>6</v>
      </c>
      <c r="C53" s="35">
        <v>0.10169491525423729</v>
      </c>
      <c r="J53" s="122" t="s">
        <v>104</v>
      </c>
      <c r="K53" s="107" t="s">
        <v>25</v>
      </c>
      <c r="L53" s="108" t="s">
        <v>16</v>
      </c>
      <c r="M53" s="108" t="s">
        <v>32</v>
      </c>
      <c r="N53" s="108" t="s">
        <v>47</v>
      </c>
    </row>
    <row r="54" spans="1:14" x14ac:dyDescent="0.25">
      <c r="A54" s="108" t="s">
        <v>32</v>
      </c>
      <c r="B54" s="117">
        <v>6</v>
      </c>
      <c r="C54" s="35">
        <v>0.10169491525423729</v>
      </c>
      <c r="J54" s="104" t="s">
        <v>14</v>
      </c>
      <c r="K54" s="115">
        <v>5</v>
      </c>
      <c r="L54" s="117">
        <v>20</v>
      </c>
      <c r="M54" s="117">
        <v>6</v>
      </c>
      <c r="N54" s="123">
        <v>0</v>
      </c>
    </row>
    <row r="55" spans="1:14" x14ac:dyDescent="0.25">
      <c r="A55" s="108" t="s">
        <v>47</v>
      </c>
      <c r="B55" s="117">
        <v>6</v>
      </c>
      <c r="C55" s="35">
        <v>0.10169491525423729</v>
      </c>
      <c r="J55" s="104" t="s">
        <v>23</v>
      </c>
      <c r="K55" s="115">
        <v>10</v>
      </c>
      <c r="L55" s="117">
        <v>6</v>
      </c>
      <c r="M55" s="117">
        <v>6</v>
      </c>
      <c r="N55" s="117">
        <v>6</v>
      </c>
    </row>
    <row r="56" spans="1:14" x14ac:dyDescent="0.25">
      <c r="A56" s="104" t="s">
        <v>60</v>
      </c>
      <c r="B56" s="118">
        <v>59</v>
      </c>
      <c r="C56" s="119">
        <v>1</v>
      </c>
    </row>
    <row r="58" spans="1:14" ht="17.399999999999999" x14ac:dyDescent="0.3">
      <c r="A58" s="88" t="s">
        <v>100</v>
      </c>
    </row>
    <row r="59" spans="1:14" ht="13.2" customHeight="1" x14ac:dyDescent="0.25"/>
    <row r="60" spans="1:14" ht="13.8" customHeight="1" x14ac:dyDescent="0.25">
      <c r="A60" s="103" t="s">
        <v>10</v>
      </c>
      <c r="B60" s="103" t="s">
        <v>62</v>
      </c>
      <c r="C60" s="103" t="s">
        <v>64</v>
      </c>
      <c r="D60" s="113" t="s">
        <v>63</v>
      </c>
      <c r="E60" s="103" t="s">
        <v>65</v>
      </c>
    </row>
    <row r="61" spans="1:14" x14ac:dyDescent="0.25">
      <c r="A61" s="105" t="s">
        <v>34</v>
      </c>
      <c r="B61" s="26">
        <v>16</v>
      </c>
      <c r="C61" s="39">
        <v>0.2711864406779661</v>
      </c>
      <c r="D61" s="47">
        <f>B61</f>
        <v>16</v>
      </c>
      <c r="E61" s="41">
        <f>C61</f>
        <v>0.2711864406779661</v>
      </c>
    </row>
    <row r="62" spans="1:14" x14ac:dyDescent="0.25">
      <c r="A62" s="106" t="s">
        <v>28</v>
      </c>
      <c r="B62" s="27">
        <v>17</v>
      </c>
      <c r="C62" s="42">
        <v>0.28813559322033899</v>
      </c>
      <c r="D62" s="48">
        <f t="shared" ref="D62:E64" si="0">D61+B62</f>
        <v>33</v>
      </c>
      <c r="E62" s="41">
        <f t="shared" si="0"/>
        <v>0.55932203389830515</v>
      </c>
    </row>
    <row r="63" spans="1:14" x14ac:dyDescent="0.25">
      <c r="A63" s="106" t="s">
        <v>19</v>
      </c>
      <c r="B63" s="27">
        <v>18</v>
      </c>
      <c r="C63" s="42">
        <v>0.30508474576271188</v>
      </c>
      <c r="D63" s="48">
        <f t="shared" si="0"/>
        <v>51</v>
      </c>
      <c r="E63" s="41">
        <f t="shared" si="0"/>
        <v>0.86440677966101709</v>
      </c>
    </row>
    <row r="64" spans="1:14" x14ac:dyDescent="0.25">
      <c r="A64" s="106" t="s">
        <v>48</v>
      </c>
      <c r="B64" s="49">
        <v>8</v>
      </c>
      <c r="C64" s="50">
        <v>0.13559322033898305</v>
      </c>
      <c r="D64" s="51">
        <f t="shared" si="0"/>
        <v>59</v>
      </c>
      <c r="E64" s="44">
        <f t="shared" si="0"/>
        <v>1.0000000000000002</v>
      </c>
    </row>
    <row r="65" spans="1:5" x14ac:dyDescent="0.25">
      <c r="A65" s="103" t="s">
        <v>60</v>
      </c>
      <c r="B65" s="25">
        <v>59</v>
      </c>
      <c r="C65" s="52">
        <v>1</v>
      </c>
      <c r="D65" s="53"/>
      <c r="E65" s="53"/>
    </row>
    <row r="68" spans="1:5" ht="17.399999999999999" x14ac:dyDescent="0.3">
      <c r="A68" s="88" t="s">
        <v>101</v>
      </c>
    </row>
    <row r="69" spans="1:5" x14ac:dyDescent="0.25">
      <c r="B69" s="103" t="s">
        <v>82</v>
      </c>
      <c r="C69" s="103" t="s">
        <v>83</v>
      </c>
    </row>
    <row r="70" spans="1:5" x14ac:dyDescent="0.25">
      <c r="A70" s="56" t="s">
        <v>76</v>
      </c>
      <c r="B70" s="54">
        <f>AVERAGE(Tabla1[[Horas promedio al día de uso del celular  ]])</f>
        <v>6.3559322033898304</v>
      </c>
      <c r="C70" s="54">
        <f>AVERAGE(Tabla1[[Horas promedio de sueño al día ]])</f>
        <v>6.2457627118644066</v>
      </c>
    </row>
    <row r="71" spans="1:5" x14ac:dyDescent="0.25">
      <c r="A71" s="56" t="s">
        <v>77</v>
      </c>
      <c r="B71" s="54">
        <f>MEDIAN(Tabla1[[Horas promedio al día de uso del celular  ]])</f>
        <v>6</v>
      </c>
      <c r="C71" s="54">
        <f>MEDIAN(Tabla1[[Horas promedio de sueño al día ]])</f>
        <v>5.5</v>
      </c>
    </row>
    <row r="72" spans="1:5" x14ac:dyDescent="0.25">
      <c r="A72" s="57" t="s">
        <v>78</v>
      </c>
      <c r="B72" s="54">
        <f>MODE(Tabla1[[Horas promedio al día de uso del celular  ]])</f>
        <v>6</v>
      </c>
      <c r="C72" s="54">
        <f>MODE(Tabla1[[Horas promedio de sueño al día ]])</f>
        <v>7.5</v>
      </c>
    </row>
    <row r="73" spans="1:5" x14ac:dyDescent="0.25">
      <c r="A73" s="124" t="s">
        <v>79</v>
      </c>
      <c r="B73" s="75">
        <f>'3. Analisis de regresión y corr'!K7</f>
        <v>2.5781757240905612</v>
      </c>
      <c r="C73" s="70">
        <f>'3. Analisis de regresión y corr'!K8</f>
        <v>1.2944606164542587</v>
      </c>
    </row>
    <row r="74" spans="1:5" x14ac:dyDescent="0.25">
      <c r="A74" s="125" t="s">
        <v>80</v>
      </c>
      <c r="B74" s="71">
        <f>MIN(Tabla1[[Horas promedio al día de uso del celular  ]])</f>
        <v>3</v>
      </c>
      <c r="C74" s="54">
        <f>MIN(Tabla1[[Horas promedio de sueño al día ]])</f>
        <v>4</v>
      </c>
    </row>
    <row r="75" spans="1:5" x14ac:dyDescent="0.25">
      <c r="A75" s="90" t="s">
        <v>81</v>
      </c>
      <c r="B75" s="55">
        <f>MAX(Tabla1[[Horas promedio al día de uso del celular  ]])</f>
        <v>11</v>
      </c>
      <c r="C75" s="55">
        <f>MAX(Tabla1[[Horas promedio de sueño al día ]])</f>
        <v>7.5</v>
      </c>
    </row>
    <row r="77" spans="1:5" ht="17.399999999999999" x14ac:dyDescent="0.3">
      <c r="A77" s="88" t="s">
        <v>102</v>
      </c>
    </row>
    <row r="79" spans="1:5" x14ac:dyDescent="0.25">
      <c r="A79" s="104" t="s">
        <v>98</v>
      </c>
      <c r="B79" s="103" t="s">
        <v>62</v>
      </c>
      <c r="C79" s="113" t="s">
        <v>64</v>
      </c>
      <c r="D79" s="103" t="s">
        <v>63</v>
      </c>
      <c r="E79" s="114" t="s">
        <v>65</v>
      </c>
    </row>
    <row r="80" spans="1:5" x14ac:dyDescent="0.25">
      <c r="A80" s="107" t="s">
        <v>20</v>
      </c>
      <c r="B80" s="26">
        <v>17</v>
      </c>
      <c r="C80" s="76">
        <v>0.28813559322033899</v>
      </c>
      <c r="D80" s="40">
        <f>B80</f>
        <v>17</v>
      </c>
      <c r="E80" s="77">
        <f>C80</f>
        <v>0.28813559322033899</v>
      </c>
    </row>
    <row r="81" spans="1:5" x14ac:dyDescent="0.25">
      <c r="A81" s="108" t="s">
        <v>29</v>
      </c>
      <c r="B81" s="27">
        <v>11</v>
      </c>
      <c r="C81" s="78">
        <v>0.1864406779661017</v>
      </c>
      <c r="D81" s="40">
        <f t="shared" ref="D81:E84" si="1">D80+B81</f>
        <v>28</v>
      </c>
      <c r="E81" s="77">
        <f t="shared" si="1"/>
        <v>0.47457627118644069</v>
      </c>
    </row>
    <row r="82" spans="1:5" x14ac:dyDescent="0.25">
      <c r="A82" s="108" t="s">
        <v>35</v>
      </c>
      <c r="B82" s="27">
        <v>10</v>
      </c>
      <c r="C82" s="78">
        <v>0.16949152542372881</v>
      </c>
      <c r="D82" s="40">
        <f t="shared" si="1"/>
        <v>38</v>
      </c>
      <c r="E82" s="77">
        <f t="shared" si="1"/>
        <v>0.64406779661016955</v>
      </c>
    </row>
    <row r="83" spans="1:5" x14ac:dyDescent="0.25">
      <c r="A83" s="108" t="s">
        <v>44</v>
      </c>
      <c r="B83" s="27">
        <v>10</v>
      </c>
      <c r="C83" s="78">
        <v>0.16949152542372881</v>
      </c>
      <c r="D83" s="40">
        <f t="shared" si="1"/>
        <v>48</v>
      </c>
      <c r="E83" s="77">
        <f t="shared" si="1"/>
        <v>0.81355932203389836</v>
      </c>
    </row>
    <row r="84" spans="1:5" x14ac:dyDescent="0.25">
      <c r="A84" s="108" t="s">
        <v>49</v>
      </c>
      <c r="B84" s="27">
        <v>11</v>
      </c>
      <c r="C84" s="78">
        <v>0.1864406779661017</v>
      </c>
      <c r="D84" s="43">
        <f t="shared" si="1"/>
        <v>59</v>
      </c>
      <c r="E84" s="79">
        <f t="shared" si="1"/>
        <v>1</v>
      </c>
    </row>
    <row r="85" spans="1:5" x14ac:dyDescent="0.25">
      <c r="A85" s="104" t="s">
        <v>60</v>
      </c>
      <c r="B85" s="28">
        <v>59</v>
      </c>
      <c r="C85" s="80">
        <v>1</v>
      </c>
      <c r="D85" s="46"/>
      <c r="E85" s="46"/>
    </row>
  </sheetData>
  <mergeCells count="2">
    <mergeCell ref="G1:N1"/>
    <mergeCell ref="A1:E1"/>
  </mergeCell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DAC5-7B67-4CF9-B306-BE080236F138}">
  <dimension ref="A1:S63"/>
  <sheetViews>
    <sheetView showGridLines="0" zoomScaleNormal="100" workbookViewId="0">
      <selection activeCell="I2" sqref="I2"/>
    </sheetView>
  </sheetViews>
  <sheetFormatPr baseColWidth="10" defaultRowHeight="13.2" x14ac:dyDescent="0.25"/>
  <cols>
    <col min="1" max="1" width="13.109375" style="95" bestFit="1" customWidth="1"/>
    <col min="2" max="2" width="48.88671875" bestFit="1" customWidth="1"/>
    <col min="3" max="3" width="39.33203125" bestFit="1" customWidth="1"/>
    <col min="4" max="4" width="16.77734375" customWidth="1"/>
    <col min="5" max="5" width="12.6640625" customWidth="1"/>
    <col min="6" max="6" width="14.33203125" customWidth="1"/>
    <col min="7" max="7" width="13.77734375" customWidth="1"/>
    <col min="8" max="8" width="16.44140625" customWidth="1"/>
    <col min="9" max="9" width="7.5546875" customWidth="1"/>
    <col min="10" max="10" width="32.21875" customWidth="1"/>
    <col min="11" max="11" width="16.109375" customWidth="1"/>
  </cols>
  <sheetData>
    <row r="1" spans="1:19" ht="24" customHeight="1" x14ac:dyDescent="0.25">
      <c r="A1" s="101" t="s">
        <v>86</v>
      </c>
      <c r="B1" s="101"/>
      <c r="C1" s="101"/>
      <c r="D1" s="101"/>
      <c r="E1" s="101"/>
      <c r="F1" s="101"/>
      <c r="G1" s="101"/>
      <c r="H1" s="101"/>
    </row>
    <row r="2" spans="1:19" ht="24" customHeight="1" x14ac:dyDescent="0.25"/>
    <row r="3" spans="1:19" ht="24" customHeight="1" x14ac:dyDescent="0.3">
      <c r="A3" s="92" t="s">
        <v>87</v>
      </c>
      <c r="B3" s="93" t="s">
        <v>90</v>
      </c>
      <c r="C3" s="93" t="s">
        <v>88</v>
      </c>
      <c r="D3" s="94"/>
      <c r="E3" s="94"/>
      <c r="F3" s="92" t="s">
        <v>91</v>
      </c>
      <c r="G3" s="94"/>
      <c r="H3" s="94"/>
      <c r="J3" s="61"/>
      <c r="K3" s="62">
        <f>AVERAGE(B4:B62)</f>
        <v>6.3559322033898304</v>
      </c>
      <c r="S3" s="3"/>
    </row>
    <row r="4" spans="1:19" ht="24" customHeight="1" x14ac:dyDescent="0.25">
      <c r="A4" s="96">
        <v>1</v>
      </c>
      <c r="B4" s="59">
        <v>6</v>
      </c>
      <c r="C4" s="58">
        <v>5.5</v>
      </c>
      <c r="D4" s="62">
        <f t="shared" ref="D4:D35" si="0">B4-$K$3</f>
        <v>-0.35593220338983045</v>
      </c>
      <c r="E4" s="62">
        <f t="shared" ref="E4:E35" si="1">C4-$K$4</f>
        <v>-0.74576271186440657</v>
      </c>
      <c r="F4" s="64">
        <f>D4*E4</f>
        <v>0.26544096523987348</v>
      </c>
      <c r="G4" s="62">
        <f>POWER(D4,2)</f>
        <v>0.12668773340993963</v>
      </c>
      <c r="H4" s="64">
        <f>POWER(E4,2)</f>
        <v>0.55616202240735391</v>
      </c>
      <c r="J4" s="61"/>
      <c r="K4" s="62">
        <f>AVERAGE(C4:C62)</f>
        <v>6.2457627118644066</v>
      </c>
    </row>
    <row r="5" spans="1:19" ht="24" customHeight="1" x14ac:dyDescent="0.25">
      <c r="A5" s="96">
        <v>2</v>
      </c>
      <c r="B5" s="60">
        <v>3</v>
      </c>
      <c r="C5" s="60">
        <v>7.5</v>
      </c>
      <c r="D5" s="62">
        <f t="shared" si="0"/>
        <v>-3.3559322033898304</v>
      </c>
      <c r="E5" s="62">
        <f t="shared" si="1"/>
        <v>1.2542372881355934</v>
      </c>
      <c r="F5" s="64">
        <f t="shared" ref="F5:F62" si="2">D5*E5</f>
        <v>-4.2091353059465675</v>
      </c>
      <c r="G5" s="62">
        <f t="shared" ref="G5:G61" si="3">POWER(D5,2)</f>
        <v>11.262280953748922</v>
      </c>
      <c r="H5" s="64">
        <f t="shared" ref="H5:H62" si="4">POWER(E5,2)</f>
        <v>1.5731111749497275</v>
      </c>
      <c r="J5" s="61"/>
      <c r="K5" s="63">
        <f>COUNT(A4:A62)</f>
        <v>59</v>
      </c>
    </row>
    <row r="6" spans="1:19" ht="24" customHeight="1" x14ac:dyDescent="0.25">
      <c r="A6" s="96">
        <v>3</v>
      </c>
      <c r="B6" s="59">
        <v>9</v>
      </c>
      <c r="C6" s="59">
        <v>5.5</v>
      </c>
      <c r="D6" s="62">
        <f t="shared" si="0"/>
        <v>2.6440677966101696</v>
      </c>
      <c r="E6" s="62">
        <f t="shared" si="1"/>
        <v>-0.74576271186440657</v>
      </c>
      <c r="F6" s="64">
        <f t="shared" si="2"/>
        <v>-1.9718471703533462</v>
      </c>
      <c r="G6" s="62">
        <f t="shared" si="3"/>
        <v>6.9910945130709568</v>
      </c>
      <c r="H6" s="64">
        <f t="shared" si="4"/>
        <v>0.55616202240735391</v>
      </c>
      <c r="S6" s="3"/>
    </row>
    <row r="7" spans="1:19" ht="24" customHeight="1" x14ac:dyDescent="0.25">
      <c r="A7" s="96">
        <v>4</v>
      </c>
      <c r="B7" s="60">
        <v>6</v>
      </c>
      <c r="C7" s="60">
        <v>7.5</v>
      </c>
      <c r="D7" s="62">
        <f t="shared" si="0"/>
        <v>-0.35593220338983045</v>
      </c>
      <c r="E7" s="62">
        <f t="shared" si="1"/>
        <v>1.2542372881355934</v>
      </c>
      <c r="F7" s="64">
        <f t="shared" si="2"/>
        <v>-0.44642344153978741</v>
      </c>
      <c r="G7" s="62">
        <f t="shared" si="3"/>
        <v>0.12668773340993963</v>
      </c>
      <c r="H7" s="64">
        <f t="shared" si="4"/>
        <v>1.5731111749497275</v>
      </c>
      <c r="J7" s="61"/>
      <c r="K7" s="64">
        <f>SQRT(K9)</f>
        <v>2.5781757240905612</v>
      </c>
    </row>
    <row r="8" spans="1:19" ht="24" customHeight="1" x14ac:dyDescent="0.25">
      <c r="A8" s="96">
        <v>5</v>
      </c>
      <c r="B8" s="59">
        <v>6</v>
      </c>
      <c r="C8" s="59">
        <v>7.5</v>
      </c>
      <c r="D8" s="62">
        <f t="shared" si="0"/>
        <v>-0.35593220338983045</v>
      </c>
      <c r="E8" s="62">
        <f t="shared" si="1"/>
        <v>1.2542372881355934</v>
      </c>
      <c r="F8" s="64">
        <f t="shared" si="2"/>
        <v>-0.44642344153978741</v>
      </c>
      <c r="G8" s="62">
        <f t="shared" si="3"/>
        <v>0.12668773340993963</v>
      </c>
      <c r="H8" s="64">
        <f t="shared" si="4"/>
        <v>1.5731111749497275</v>
      </c>
      <c r="J8" s="61"/>
      <c r="K8" s="64">
        <f>SQRT(K10)</f>
        <v>1.2944606164542587</v>
      </c>
    </row>
    <row r="9" spans="1:19" ht="24" customHeight="1" x14ac:dyDescent="0.25">
      <c r="A9" s="96">
        <v>6</v>
      </c>
      <c r="B9" s="60">
        <v>9</v>
      </c>
      <c r="C9" s="60">
        <v>5.5</v>
      </c>
      <c r="D9" s="62">
        <f t="shared" si="0"/>
        <v>2.6440677966101696</v>
      </c>
      <c r="E9" s="62">
        <f t="shared" si="1"/>
        <v>-0.74576271186440657</v>
      </c>
      <c r="F9" s="64">
        <f t="shared" si="2"/>
        <v>-1.9718471703533462</v>
      </c>
      <c r="G9" s="62">
        <f t="shared" si="3"/>
        <v>6.9910945130709568</v>
      </c>
      <c r="H9" s="64">
        <f t="shared" si="4"/>
        <v>0.55616202240735391</v>
      </c>
      <c r="J9" s="61"/>
      <c r="K9" s="64">
        <f>G63/(K5-1)</f>
        <v>6.6469900642898887</v>
      </c>
    </row>
    <row r="10" spans="1:19" ht="24" customHeight="1" x14ac:dyDescent="0.25">
      <c r="A10" s="96">
        <v>7</v>
      </c>
      <c r="B10" s="59">
        <v>3</v>
      </c>
      <c r="C10" s="59">
        <v>7.5</v>
      </c>
      <c r="D10" s="62">
        <f t="shared" si="0"/>
        <v>-3.3559322033898304</v>
      </c>
      <c r="E10" s="62">
        <f t="shared" si="1"/>
        <v>1.2542372881355934</v>
      </c>
      <c r="F10" s="64">
        <f t="shared" si="2"/>
        <v>-4.2091353059465675</v>
      </c>
      <c r="G10" s="62">
        <f t="shared" si="3"/>
        <v>11.262280953748922</v>
      </c>
      <c r="H10" s="64">
        <f t="shared" si="4"/>
        <v>1.5731111749497275</v>
      </c>
      <c r="J10" s="61"/>
      <c r="K10" s="64">
        <f>H63/(K5-1)</f>
        <v>1.6756282875511397</v>
      </c>
    </row>
    <row r="11" spans="1:19" ht="24" customHeight="1" x14ac:dyDescent="0.25">
      <c r="A11" s="96">
        <v>8</v>
      </c>
      <c r="B11" s="60">
        <v>11</v>
      </c>
      <c r="C11" s="60">
        <v>4</v>
      </c>
      <c r="D11" s="62">
        <f t="shared" si="0"/>
        <v>4.6440677966101696</v>
      </c>
      <c r="E11" s="62">
        <f t="shared" si="1"/>
        <v>-2.2457627118644066</v>
      </c>
      <c r="F11" s="64">
        <f t="shared" si="2"/>
        <v>-10.429474288997413</v>
      </c>
      <c r="G11" s="62">
        <f t="shared" si="3"/>
        <v>21.567365699511637</v>
      </c>
      <c r="H11" s="64">
        <f t="shared" si="4"/>
        <v>5.0434501580005735</v>
      </c>
      <c r="J11" s="97" t="s">
        <v>92</v>
      </c>
      <c r="K11" s="85">
        <f>F63/(K5-1)</f>
        <v>-2.5200175336060786</v>
      </c>
    </row>
    <row r="12" spans="1:19" ht="24" customHeight="1" x14ac:dyDescent="0.25">
      <c r="A12" s="96">
        <v>9</v>
      </c>
      <c r="B12" s="59">
        <v>6</v>
      </c>
      <c r="C12" s="59">
        <v>5.5</v>
      </c>
      <c r="D12" s="62">
        <f t="shared" si="0"/>
        <v>-0.35593220338983045</v>
      </c>
      <c r="E12" s="62">
        <f t="shared" si="1"/>
        <v>-0.74576271186440657</v>
      </c>
      <c r="F12" s="64">
        <f t="shared" si="2"/>
        <v>0.26544096523987348</v>
      </c>
      <c r="G12" s="62">
        <f t="shared" si="3"/>
        <v>0.12668773340993963</v>
      </c>
      <c r="H12" s="64">
        <f t="shared" si="4"/>
        <v>0.55616202240735391</v>
      </c>
      <c r="J12" s="97"/>
      <c r="K12" s="85"/>
    </row>
    <row r="13" spans="1:19" ht="24" customHeight="1" x14ac:dyDescent="0.25">
      <c r="A13" s="96">
        <v>10</v>
      </c>
      <c r="B13" s="60">
        <v>3</v>
      </c>
      <c r="C13" s="60">
        <v>7.5</v>
      </c>
      <c r="D13" s="62">
        <f t="shared" si="0"/>
        <v>-3.3559322033898304</v>
      </c>
      <c r="E13" s="62">
        <f t="shared" si="1"/>
        <v>1.2542372881355934</v>
      </c>
      <c r="F13" s="64">
        <f t="shared" si="2"/>
        <v>-4.2091353059465675</v>
      </c>
      <c r="G13" s="62">
        <f t="shared" si="3"/>
        <v>11.262280953748922</v>
      </c>
      <c r="H13" s="64">
        <f t="shared" si="4"/>
        <v>1.5731111749497275</v>
      </c>
      <c r="J13" s="97" t="s">
        <v>93</v>
      </c>
      <c r="K13" s="85">
        <f>K11/(K7*K8)</f>
        <v>-0.75509606315321565</v>
      </c>
    </row>
    <row r="14" spans="1:19" ht="24" customHeight="1" x14ac:dyDescent="0.25">
      <c r="A14" s="96">
        <v>11</v>
      </c>
      <c r="B14" s="59">
        <v>9</v>
      </c>
      <c r="C14" s="59">
        <v>5.5</v>
      </c>
      <c r="D14" s="62">
        <f t="shared" si="0"/>
        <v>2.6440677966101696</v>
      </c>
      <c r="E14" s="62">
        <f t="shared" si="1"/>
        <v>-0.74576271186440657</v>
      </c>
      <c r="F14" s="64">
        <f t="shared" si="2"/>
        <v>-1.9718471703533462</v>
      </c>
      <c r="G14" s="62">
        <f t="shared" si="3"/>
        <v>6.9910945130709568</v>
      </c>
      <c r="H14" s="64">
        <f t="shared" si="4"/>
        <v>0.55616202240735391</v>
      </c>
      <c r="J14" s="97"/>
      <c r="K14" s="85"/>
    </row>
    <row r="15" spans="1:19" ht="24" customHeight="1" x14ac:dyDescent="0.25">
      <c r="A15" s="96">
        <v>12</v>
      </c>
      <c r="B15" s="60">
        <v>3</v>
      </c>
      <c r="C15" s="60">
        <v>7.5</v>
      </c>
      <c r="D15" s="62">
        <f t="shared" si="0"/>
        <v>-3.3559322033898304</v>
      </c>
      <c r="E15" s="62">
        <f t="shared" si="1"/>
        <v>1.2542372881355934</v>
      </c>
      <c r="F15" s="64">
        <f t="shared" si="2"/>
        <v>-4.2091353059465675</v>
      </c>
      <c r="G15" s="62">
        <f t="shared" si="3"/>
        <v>11.262280953748922</v>
      </c>
      <c r="H15" s="64">
        <f t="shared" si="4"/>
        <v>1.5731111749497275</v>
      </c>
      <c r="J15" s="98" t="s">
        <v>94</v>
      </c>
      <c r="K15" s="83">
        <f>POWER(K13,2)</f>
        <v>0.57017006458948505</v>
      </c>
      <c r="S15" s="3"/>
    </row>
    <row r="16" spans="1:19" ht="24" customHeight="1" x14ac:dyDescent="0.25">
      <c r="A16" s="96">
        <v>13</v>
      </c>
      <c r="B16" s="59">
        <v>9</v>
      </c>
      <c r="C16" s="59">
        <v>5.5</v>
      </c>
      <c r="D16" s="62">
        <f t="shared" si="0"/>
        <v>2.6440677966101696</v>
      </c>
      <c r="E16" s="62">
        <f t="shared" si="1"/>
        <v>-0.74576271186440657</v>
      </c>
      <c r="F16" s="64">
        <f t="shared" si="2"/>
        <v>-1.9718471703533462</v>
      </c>
      <c r="G16" s="62">
        <f t="shared" si="3"/>
        <v>6.9910945130709568</v>
      </c>
      <c r="H16" s="64">
        <f t="shared" si="4"/>
        <v>0.55616202240735391</v>
      </c>
      <c r="J16" s="99"/>
      <c r="K16" s="84"/>
    </row>
    <row r="17" spans="1:11" ht="24" customHeight="1" x14ac:dyDescent="0.25">
      <c r="A17" s="96">
        <v>14</v>
      </c>
      <c r="B17" s="60">
        <v>6</v>
      </c>
      <c r="C17" s="60">
        <v>7.5</v>
      </c>
      <c r="D17" s="62">
        <f t="shared" si="0"/>
        <v>-0.35593220338983045</v>
      </c>
      <c r="E17" s="62">
        <f t="shared" si="1"/>
        <v>1.2542372881355934</v>
      </c>
      <c r="F17" s="64">
        <f t="shared" si="2"/>
        <v>-0.44642344153978741</v>
      </c>
      <c r="G17" s="62">
        <f t="shared" si="3"/>
        <v>0.12668773340993963</v>
      </c>
      <c r="H17" s="64">
        <f t="shared" si="4"/>
        <v>1.5731111749497275</v>
      </c>
      <c r="J17" s="65"/>
      <c r="K17" s="64">
        <f>K4-K18*K3</f>
        <v>8.6554339224479033</v>
      </c>
    </row>
    <row r="18" spans="1:11" ht="24" customHeight="1" x14ac:dyDescent="0.25">
      <c r="A18" s="96">
        <v>15</v>
      </c>
      <c r="B18" s="59">
        <v>11</v>
      </c>
      <c r="C18" s="59">
        <v>5.5</v>
      </c>
      <c r="D18" s="62">
        <f t="shared" si="0"/>
        <v>4.6440677966101696</v>
      </c>
      <c r="E18" s="62">
        <f t="shared" si="1"/>
        <v>-0.74576271186440657</v>
      </c>
      <c r="F18" s="64">
        <f t="shared" si="2"/>
        <v>-3.4633725940821596</v>
      </c>
      <c r="G18" s="62">
        <f t="shared" si="3"/>
        <v>21.567365699511637</v>
      </c>
      <c r="H18" s="64">
        <f t="shared" si="4"/>
        <v>0.55616202240735391</v>
      </c>
      <c r="J18" s="65"/>
      <c r="K18" s="64">
        <f>F63/G63</f>
        <v>-0.3791216037984701</v>
      </c>
    </row>
    <row r="19" spans="1:11" ht="24" customHeight="1" x14ac:dyDescent="0.25">
      <c r="A19" s="96">
        <v>16</v>
      </c>
      <c r="B19" s="60">
        <v>6</v>
      </c>
      <c r="C19" s="60">
        <v>7.5</v>
      </c>
      <c r="D19" s="62">
        <f t="shared" si="0"/>
        <v>-0.35593220338983045</v>
      </c>
      <c r="E19" s="62">
        <f t="shared" si="1"/>
        <v>1.2542372881355934</v>
      </c>
      <c r="F19" s="64">
        <f t="shared" si="2"/>
        <v>-0.44642344153978741</v>
      </c>
      <c r="G19" s="62">
        <f t="shared" si="3"/>
        <v>0.12668773340993963</v>
      </c>
      <c r="H19" s="64">
        <f t="shared" si="4"/>
        <v>1.5731111749497275</v>
      </c>
      <c r="J19" s="72"/>
      <c r="K19" s="67">
        <f>K17+K18*K23</f>
        <v>4.8642178844632022</v>
      </c>
    </row>
    <row r="20" spans="1:11" ht="24" customHeight="1" x14ac:dyDescent="0.25">
      <c r="A20" s="96">
        <v>17</v>
      </c>
      <c r="B20" s="59">
        <v>3</v>
      </c>
      <c r="C20" s="59">
        <v>5.5</v>
      </c>
      <c r="D20" s="62">
        <f t="shared" si="0"/>
        <v>-3.3559322033898304</v>
      </c>
      <c r="E20" s="62">
        <f t="shared" si="1"/>
        <v>-0.74576271186440657</v>
      </c>
      <c r="F20" s="64">
        <f t="shared" si="2"/>
        <v>2.502729100833093</v>
      </c>
      <c r="G20" s="62">
        <f t="shared" si="3"/>
        <v>11.262280953748922</v>
      </c>
      <c r="H20" s="64">
        <f t="shared" si="4"/>
        <v>0.55616202240735391</v>
      </c>
      <c r="J20" s="100" t="s">
        <v>96</v>
      </c>
      <c r="K20" s="73">
        <f>(K7/K3)</f>
        <v>0.40563298059024827</v>
      </c>
    </row>
    <row r="21" spans="1:11" ht="24" customHeight="1" x14ac:dyDescent="0.25">
      <c r="A21" s="96">
        <v>18</v>
      </c>
      <c r="B21" s="60">
        <v>6</v>
      </c>
      <c r="C21" s="60">
        <v>7.5</v>
      </c>
      <c r="D21" s="62">
        <f t="shared" si="0"/>
        <v>-0.35593220338983045</v>
      </c>
      <c r="E21" s="62">
        <f t="shared" si="1"/>
        <v>1.2542372881355934</v>
      </c>
      <c r="F21" s="64">
        <f t="shared" si="2"/>
        <v>-0.44642344153978741</v>
      </c>
      <c r="G21" s="62">
        <f t="shared" si="3"/>
        <v>0.12668773340993963</v>
      </c>
      <c r="H21" s="64">
        <f t="shared" si="4"/>
        <v>1.5731111749497275</v>
      </c>
      <c r="J21" s="100" t="s">
        <v>97</v>
      </c>
      <c r="K21" s="74">
        <f>(K8/K4)</f>
        <v>0.20725420996146884</v>
      </c>
    </row>
    <row r="22" spans="1:11" ht="24" customHeight="1" x14ac:dyDescent="0.25">
      <c r="A22" s="96">
        <v>19</v>
      </c>
      <c r="B22" s="59">
        <v>11</v>
      </c>
      <c r="C22" s="59">
        <v>4</v>
      </c>
      <c r="D22" s="62">
        <f t="shared" si="0"/>
        <v>4.6440677966101696</v>
      </c>
      <c r="E22" s="62">
        <f t="shared" si="1"/>
        <v>-2.2457627118644066</v>
      </c>
      <c r="F22" s="64">
        <f t="shared" si="2"/>
        <v>-10.429474288997413</v>
      </c>
      <c r="G22" s="62">
        <f t="shared" si="3"/>
        <v>21.567365699511637</v>
      </c>
      <c r="H22" s="64">
        <f t="shared" si="4"/>
        <v>5.0434501580005735</v>
      </c>
    </row>
    <row r="23" spans="1:11" ht="24" customHeight="1" x14ac:dyDescent="0.25">
      <c r="A23" s="96">
        <v>20</v>
      </c>
      <c r="B23" s="60">
        <v>6</v>
      </c>
      <c r="C23" s="60">
        <v>7.5</v>
      </c>
      <c r="D23" s="62">
        <f t="shared" si="0"/>
        <v>-0.35593220338983045</v>
      </c>
      <c r="E23" s="62">
        <f t="shared" si="1"/>
        <v>1.2542372881355934</v>
      </c>
      <c r="F23" s="64">
        <f t="shared" si="2"/>
        <v>-0.44642344153978741</v>
      </c>
      <c r="G23" s="62">
        <f t="shared" si="3"/>
        <v>0.12668773340993963</v>
      </c>
      <c r="H23" s="64">
        <f t="shared" si="4"/>
        <v>1.5731111749497275</v>
      </c>
      <c r="J23" s="68" t="s">
        <v>95</v>
      </c>
      <c r="K23" s="69">
        <v>10</v>
      </c>
    </row>
    <row r="24" spans="1:11" ht="24" customHeight="1" x14ac:dyDescent="0.25">
      <c r="A24" s="96">
        <v>21</v>
      </c>
      <c r="B24" s="59">
        <v>6</v>
      </c>
      <c r="C24" s="59">
        <v>5.5</v>
      </c>
      <c r="D24" s="62">
        <f t="shared" si="0"/>
        <v>-0.35593220338983045</v>
      </c>
      <c r="E24" s="62">
        <f t="shared" si="1"/>
        <v>-0.74576271186440657</v>
      </c>
      <c r="F24" s="64">
        <f t="shared" si="2"/>
        <v>0.26544096523987348</v>
      </c>
      <c r="G24" s="62">
        <f t="shared" si="3"/>
        <v>0.12668773340993963</v>
      </c>
      <c r="H24" s="64">
        <f t="shared" si="4"/>
        <v>0.55616202240735391</v>
      </c>
    </row>
    <row r="25" spans="1:11" ht="24" customHeight="1" x14ac:dyDescent="0.25">
      <c r="A25" s="96">
        <v>22</v>
      </c>
      <c r="B25" s="60">
        <v>3</v>
      </c>
      <c r="C25" s="60">
        <v>7.5</v>
      </c>
      <c r="D25" s="62">
        <f t="shared" si="0"/>
        <v>-3.3559322033898304</v>
      </c>
      <c r="E25" s="62">
        <f t="shared" si="1"/>
        <v>1.2542372881355934</v>
      </c>
      <c r="F25" s="64">
        <f t="shared" si="2"/>
        <v>-4.2091353059465675</v>
      </c>
      <c r="G25" s="62">
        <f t="shared" si="3"/>
        <v>11.262280953748922</v>
      </c>
      <c r="H25" s="64">
        <f t="shared" si="4"/>
        <v>1.5731111749497275</v>
      </c>
    </row>
    <row r="26" spans="1:11" ht="24" customHeight="1" x14ac:dyDescent="0.25">
      <c r="A26" s="96">
        <v>23</v>
      </c>
      <c r="B26" s="59">
        <v>9</v>
      </c>
      <c r="C26" s="59">
        <v>4</v>
      </c>
      <c r="D26" s="62">
        <f t="shared" si="0"/>
        <v>2.6440677966101696</v>
      </c>
      <c r="E26" s="62">
        <f t="shared" si="1"/>
        <v>-2.2457627118644066</v>
      </c>
      <c r="F26" s="64">
        <f t="shared" si="2"/>
        <v>-5.9379488652686003</v>
      </c>
      <c r="G26" s="62">
        <f t="shared" si="3"/>
        <v>6.9910945130709568</v>
      </c>
      <c r="H26" s="64">
        <f t="shared" si="4"/>
        <v>5.0434501580005735</v>
      </c>
    </row>
    <row r="27" spans="1:11" ht="24" customHeight="1" x14ac:dyDescent="0.25">
      <c r="A27" s="96">
        <v>24</v>
      </c>
      <c r="B27" s="60">
        <v>6</v>
      </c>
      <c r="C27" s="60">
        <v>5.5</v>
      </c>
      <c r="D27" s="62">
        <f t="shared" si="0"/>
        <v>-0.35593220338983045</v>
      </c>
      <c r="E27" s="62">
        <f t="shared" si="1"/>
        <v>-0.74576271186440657</v>
      </c>
      <c r="F27" s="64">
        <f t="shared" si="2"/>
        <v>0.26544096523987348</v>
      </c>
      <c r="G27" s="62">
        <f t="shared" si="3"/>
        <v>0.12668773340993963</v>
      </c>
      <c r="H27" s="64">
        <f t="shared" si="4"/>
        <v>0.55616202240735391</v>
      </c>
    </row>
    <row r="28" spans="1:11" ht="24" customHeight="1" x14ac:dyDescent="0.25">
      <c r="A28" s="96">
        <v>25</v>
      </c>
      <c r="B28" s="59">
        <v>3</v>
      </c>
      <c r="C28" s="59">
        <v>7.5</v>
      </c>
      <c r="D28" s="62">
        <f t="shared" si="0"/>
        <v>-3.3559322033898304</v>
      </c>
      <c r="E28" s="62">
        <f t="shared" si="1"/>
        <v>1.2542372881355934</v>
      </c>
      <c r="F28" s="64">
        <f t="shared" si="2"/>
        <v>-4.2091353059465675</v>
      </c>
      <c r="G28" s="62">
        <f t="shared" si="3"/>
        <v>11.262280953748922</v>
      </c>
      <c r="H28" s="64">
        <f t="shared" si="4"/>
        <v>1.5731111749497275</v>
      </c>
    </row>
    <row r="29" spans="1:11" ht="24" customHeight="1" x14ac:dyDescent="0.25">
      <c r="A29" s="96">
        <v>26</v>
      </c>
      <c r="B29" s="59">
        <v>6</v>
      </c>
      <c r="C29" s="59">
        <v>5.5</v>
      </c>
      <c r="D29" s="62">
        <f t="shared" si="0"/>
        <v>-0.35593220338983045</v>
      </c>
      <c r="E29" s="62">
        <f t="shared" si="1"/>
        <v>-0.74576271186440657</v>
      </c>
      <c r="F29" s="64">
        <f t="shared" si="2"/>
        <v>0.26544096523987348</v>
      </c>
      <c r="G29" s="62">
        <f t="shared" si="3"/>
        <v>0.12668773340993963</v>
      </c>
      <c r="H29" s="64">
        <f t="shared" si="4"/>
        <v>0.55616202240735391</v>
      </c>
    </row>
    <row r="30" spans="1:11" ht="24" customHeight="1" x14ac:dyDescent="0.25">
      <c r="A30" s="96">
        <v>27</v>
      </c>
      <c r="B30" s="59">
        <v>6</v>
      </c>
      <c r="C30" s="59">
        <v>7.5</v>
      </c>
      <c r="D30" s="62">
        <f t="shared" si="0"/>
        <v>-0.35593220338983045</v>
      </c>
      <c r="E30" s="62">
        <f t="shared" si="1"/>
        <v>1.2542372881355934</v>
      </c>
      <c r="F30" s="64">
        <f t="shared" si="2"/>
        <v>-0.44642344153978741</v>
      </c>
      <c r="G30" s="62">
        <f t="shared" si="3"/>
        <v>0.12668773340993963</v>
      </c>
      <c r="H30" s="64">
        <f t="shared" si="4"/>
        <v>1.5731111749497275</v>
      </c>
    </row>
    <row r="31" spans="1:11" ht="24" customHeight="1" x14ac:dyDescent="0.25">
      <c r="A31" s="96">
        <v>28</v>
      </c>
      <c r="B31" s="59">
        <v>11</v>
      </c>
      <c r="C31" s="59">
        <v>4</v>
      </c>
      <c r="D31" s="62">
        <f t="shared" si="0"/>
        <v>4.6440677966101696</v>
      </c>
      <c r="E31" s="62">
        <f t="shared" si="1"/>
        <v>-2.2457627118644066</v>
      </c>
      <c r="F31" s="64">
        <f t="shared" si="2"/>
        <v>-10.429474288997413</v>
      </c>
      <c r="G31" s="62">
        <f t="shared" si="3"/>
        <v>21.567365699511637</v>
      </c>
      <c r="H31" s="64">
        <f t="shared" si="4"/>
        <v>5.0434501580005735</v>
      </c>
    </row>
    <row r="32" spans="1:11" ht="24" customHeight="1" x14ac:dyDescent="0.25">
      <c r="A32" s="96">
        <v>29</v>
      </c>
      <c r="B32" s="59">
        <v>3</v>
      </c>
      <c r="C32" s="59">
        <v>7.5</v>
      </c>
      <c r="D32" s="62">
        <f t="shared" si="0"/>
        <v>-3.3559322033898304</v>
      </c>
      <c r="E32" s="62">
        <f t="shared" si="1"/>
        <v>1.2542372881355934</v>
      </c>
      <c r="F32" s="64">
        <f t="shared" si="2"/>
        <v>-4.2091353059465675</v>
      </c>
      <c r="G32" s="62">
        <f t="shared" si="3"/>
        <v>11.262280953748922</v>
      </c>
      <c r="H32" s="64">
        <f t="shared" si="4"/>
        <v>1.5731111749497275</v>
      </c>
    </row>
    <row r="33" spans="1:8" ht="24" customHeight="1" x14ac:dyDescent="0.25">
      <c r="A33" s="96">
        <v>30</v>
      </c>
      <c r="B33" s="59">
        <v>6</v>
      </c>
      <c r="C33" s="59">
        <v>5.5</v>
      </c>
      <c r="D33" s="62">
        <f t="shared" si="0"/>
        <v>-0.35593220338983045</v>
      </c>
      <c r="E33" s="62">
        <f t="shared" si="1"/>
        <v>-0.74576271186440657</v>
      </c>
      <c r="F33" s="64">
        <f t="shared" si="2"/>
        <v>0.26544096523987348</v>
      </c>
      <c r="G33" s="62">
        <f t="shared" si="3"/>
        <v>0.12668773340993963</v>
      </c>
      <c r="H33" s="64">
        <f t="shared" si="4"/>
        <v>0.55616202240735391</v>
      </c>
    </row>
    <row r="34" spans="1:8" ht="24" customHeight="1" x14ac:dyDescent="0.25">
      <c r="A34" s="96">
        <v>31</v>
      </c>
      <c r="B34" s="59">
        <v>6</v>
      </c>
      <c r="C34" s="59">
        <v>7.5</v>
      </c>
      <c r="D34" s="62">
        <f t="shared" si="0"/>
        <v>-0.35593220338983045</v>
      </c>
      <c r="E34" s="62">
        <f t="shared" si="1"/>
        <v>1.2542372881355934</v>
      </c>
      <c r="F34" s="64">
        <f t="shared" si="2"/>
        <v>-0.44642344153978741</v>
      </c>
      <c r="G34" s="62">
        <f t="shared" si="3"/>
        <v>0.12668773340993963</v>
      </c>
      <c r="H34" s="64">
        <f t="shared" si="4"/>
        <v>1.5731111749497275</v>
      </c>
    </row>
    <row r="35" spans="1:8" ht="24" customHeight="1" x14ac:dyDescent="0.25">
      <c r="A35" s="96">
        <v>32</v>
      </c>
      <c r="B35" s="59">
        <v>9</v>
      </c>
      <c r="C35" s="59">
        <v>4</v>
      </c>
      <c r="D35" s="62">
        <f t="shared" si="0"/>
        <v>2.6440677966101696</v>
      </c>
      <c r="E35" s="62">
        <f t="shared" si="1"/>
        <v>-2.2457627118644066</v>
      </c>
      <c r="F35" s="64">
        <f t="shared" si="2"/>
        <v>-5.9379488652686003</v>
      </c>
      <c r="G35" s="62">
        <f t="shared" si="3"/>
        <v>6.9910945130709568</v>
      </c>
      <c r="H35" s="64">
        <f t="shared" si="4"/>
        <v>5.0434501580005735</v>
      </c>
    </row>
    <row r="36" spans="1:8" ht="24" customHeight="1" x14ac:dyDescent="0.25">
      <c r="A36" s="96">
        <v>33</v>
      </c>
      <c r="B36" s="59">
        <v>6</v>
      </c>
      <c r="C36" s="59">
        <v>5.5</v>
      </c>
      <c r="D36" s="62">
        <f t="shared" ref="D36:D62" si="5">B36-$K$3</f>
        <v>-0.35593220338983045</v>
      </c>
      <c r="E36" s="62">
        <f t="shared" ref="E36:E62" si="6">C36-$K$4</f>
        <v>-0.74576271186440657</v>
      </c>
      <c r="F36" s="64">
        <f t="shared" si="2"/>
        <v>0.26544096523987348</v>
      </c>
      <c r="G36" s="62">
        <f t="shared" si="3"/>
        <v>0.12668773340993963</v>
      </c>
      <c r="H36" s="64">
        <f t="shared" si="4"/>
        <v>0.55616202240735391</v>
      </c>
    </row>
    <row r="37" spans="1:8" ht="24" customHeight="1" x14ac:dyDescent="0.25">
      <c r="A37" s="96">
        <v>34</v>
      </c>
      <c r="B37" s="59">
        <v>3</v>
      </c>
      <c r="C37" s="59">
        <v>7.5</v>
      </c>
      <c r="D37" s="62">
        <f t="shared" si="5"/>
        <v>-3.3559322033898304</v>
      </c>
      <c r="E37" s="62">
        <f t="shared" si="6"/>
        <v>1.2542372881355934</v>
      </c>
      <c r="F37" s="64">
        <f t="shared" si="2"/>
        <v>-4.2091353059465675</v>
      </c>
      <c r="G37" s="62">
        <f t="shared" si="3"/>
        <v>11.262280953748922</v>
      </c>
      <c r="H37" s="64">
        <f t="shared" si="4"/>
        <v>1.5731111749497275</v>
      </c>
    </row>
    <row r="38" spans="1:8" ht="24" customHeight="1" x14ac:dyDescent="0.25">
      <c r="A38" s="96">
        <v>35</v>
      </c>
      <c r="B38" s="59">
        <v>6</v>
      </c>
      <c r="C38" s="59">
        <v>7.5</v>
      </c>
      <c r="D38" s="62">
        <f t="shared" si="5"/>
        <v>-0.35593220338983045</v>
      </c>
      <c r="E38" s="62">
        <f t="shared" si="6"/>
        <v>1.2542372881355934</v>
      </c>
      <c r="F38" s="64">
        <f t="shared" si="2"/>
        <v>-0.44642344153978741</v>
      </c>
      <c r="G38" s="62">
        <f t="shared" si="3"/>
        <v>0.12668773340993963</v>
      </c>
      <c r="H38" s="64">
        <f t="shared" si="4"/>
        <v>1.5731111749497275</v>
      </c>
    </row>
    <row r="39" spans="1:8" ht="24" customHeight="1" x14ac:dyDescent="0.25">
      <c r="A39" s="96">
        <v>36</v>
      </c>
      <c r="B39" s="59">
        <v>9</v>
      </c>
      <c r="C39" s="59">
        <v>5.5</v>
      </c>
      <c r="D39" s="62">
        <f t="shared" si="5"/>
        <v>2.6440677966101696</v>
      </c>
      <c r="E39" s="62">
        <f t="shared" si="6"/>
        <v>-0.74576271186440657</v>
      </c>
      <c r="F39" s="64">
        <f t="shared" si="2"/>
        <v>-1.9718471703533462</v>
      </c>
      <c r="G39" s="62">
        <f t="shared" si="3"/>
        <v>6.9910945130709568</v>
      </c>
      <c r="H39" s="64">
        <f t="shared" si="4"/>
        <v>0.55616202240735391</v>
      </c>
    </row>
    <row r="40" spans="1:8" ht="24" customHeight="1" x14ac:dyDescent="0.25">
      <c r="A40" s="96">
        <v>37</v>
      </c>
      <c r="B40" s="59">
        <v>3</v>
      </c>
      <c r="C40" s="59">
        <v>7.5</v>
      </c>
      <c r="D40" s="62">
        <f t="shared" si="5"/>
        <v>-3.3559322033898304</v>
      </c>
      <c r="E40" s="62">
        <f t="shared" si="6"/>
        <v>1.2542372881355934</v>
      </c>
      <c r="F40" s="64">
        <f t="shared" si="2"/>
        <v>-4.2091353059465675</v>
      </c>
      <c r="G40" s="62">
        <f t="shared" si="3"/>
        <v>11.262280953748922</v>
      </c>
      <c r="H40" s="64">
        <f t="shared" si="4"/>
        <v>1.5731111749497275</v>
      </c>
    </row>
    <row r="41" spans="1:8" ht="24" customHeight="1" x14ac:dyDescent="0.25">
      <c r="A41" s="96">
        <v>38</v>
      </c>
      <c r="B41" s="59">
        <v>6</v>
      </c>
      <c r="C41" s="59">
        <v>4</v>
      </c>
      <c r="D41" s="62">
        <f t="shared" si="5"/>
        <v>-0.35593220338983045</v>
      </c>
      <c r="E41" s="62">
        <f t="shared" si="6"/>
        <v>-2.2457627118644066</v>
      </c>
      <c r="F41" s="64">
        <f t="shared" si="2"/>
        <v>0.79933927032461916</v>
      </c>
      <c r="G41" s="62">
        <f t="shared" si="3"/>
        <v>0.12668773340993963</v>
      </c>
      <c r="H41" s="64">
        <f t="shared" si="4"/>
        <v>5.0434501580005735</v>
      </c>
    </row>
    <row r="42" spans="1:8" ht="24" customHeight="1" x14ac:dyDescent="0.25">
      <c r="A42" s="96">
        <v>39</v>
      </c>
      <c r="B42" s="59">
        <v>9</v>
      </c>
      <c r="C42" s="59">
        <v>5.5</v>
      </c>
      <c r="D42" s="62">
        <f t="shared" si="5"/>
        <v>2.6440677966101696</v>
      </c>
      <c r="E42" s="62">
        <f t="shared" si="6"/>
        <v>-0.74576271186440657</v>
      </c>
      <c r="F42" s="64">
        <f t="shared" si="2"/>
        <v>-1.9718471703533462</v>
      </c>
      <c r="G42" s="62">
        <f t="shared" si="3"/>
        <v>6.9910945130709568</v>
      </c>
      <c r="H42" s="64">
        <f t="shared" si="4"/>
        <v>0.55616202240735391</v>
      </c>
    </row>
    <row r="43" spans="1:8" ht="24" customHeight="1" x14ac:dyDescent="0.25">
      <c r="A43" s="96">
        <v>40</v>
      </c>
      <c r="B43" s="59">
        <v>6</v>
      </c>
      <c r="C43" s="59">
        <v>7.5</v>
      </c>
      <c r="D43" s="62">
        <f t="shared" si="5"/>
        <v>-0.35593220338983045</v>
      </c>
      <c r="E43" s="62">
        <f t="shared" si="6"/>
        <v>1.2542372881355934</v>
      </c>
      <c r="F43" s="64">
        <f t="shared" si="2"/>
        <v>-0.44642344153978741</v>
      </c>
      <c r="G43" s="62">
        <f t="shared" si="3"/>
        <v>0.12668773340993963</v>
      </c>
      <c r="H43" s="64">
        <f t="shared" si="4"/>
        <v>1.5731111749497275</v>
      </c>
    </row>
    <row r="44" spans="1:8" ht="24" customHeight="1" x14ac:dyDescent="0.25">
      <c r="A44" s="96">
        <v>41</v>
      </c>
      <c r="B44" s="59">
        <v>6</v>
      </c>
      <c r="C44" s="59">
        <v>5.5</v>
      </c>
      <c r="D44" s="62">
        <f t="shared" si="5"/>
        <v>-0.35593220338983045</v>
      </c>
      <c r="E44" s="62">
        <f t="shared" si="6"/>
        <v>-0.74576271186440657</v>
      </c>
      <c r="F44" s="64">
        <f t="shared" si="2"/>
        <v>0.26544096523987348</v>
      </c>
      <c r="G44" s="62">
        <f t="shared" si="3"/>
        <v>0.12668773340993963</v>
      </c>
      <c r="H44" s="64">
        <f t="shared" si="4"/>
        <v>0.55616202240735391</v>
      </c>
    </row>
    <row r="45" spans="1:8" ht="24" customHeight="1" x14ac:dyDescent="0.25">
      <c r="A45" s="96">
        <v>42</v>
      </c>
      <c r="B45" s="59">
        <v>11</v>
      </c>
      <c r="C45" s="59">
        <v>4</v>
      </c>
      <c r="D45" s="62">
        <f t="shared" si="5"/>
        <v>4.6440677966101696</v>
      </c>
      <c r="E45" s="62">
        <f t="shared" si="6"/>
        <v>-2.2457627118644066</v>
      </c>
      <c r="F45" s="64">
        <f t="shared" si="2"/>
        <v>-10.429474288997413</v>
      </c>
      <c r="G45" s="62">
        <f t="shared" si="3"/>
        <v>21.567365699511637</v>
      </c>
      <c r="H45" s="64">
        <f t="shared" si="4"/>
        <v>5.0434501580005735</v>
      </c>
    </row>
    <row r="46" spans="1:8" ht="24" customHeight="1" x14ac:dyDescent="0.25">
      <c r="A46" s="96">
        <v>43</v>
      </c>
      <c r="B46" s="59">
        <v>3</v>
      </c>
      <c r="C46" s="59">
        <v>7.5</v>
      </c>
      <c r="D46" s="62">
        <f t="shared" si="5"/>
        <v>-3.3559322033898304</v>
      </c>
      <c r="E46" s="62">
        <f t="shared" si="6"/>
        <v>1.2542372881355934</v>
      </c>
      <c r="F46" s="64">
        <f t="shared" si="2"/>
        <v>-4.2091353059465675</v>
      </c>
      <c r="G46" s="62">
        <f t="shared" si="3"/>
        <v>11.262280953748922</v>
      </c>
      <c r="H46" s="64">
        <f t="shared" si="4"/>
        <v>1.5731111749497275</v>
      </c>
    </row>
    <row r="47" spans="1:8" ht="24" customHeight="1" x14ac:dyDescent="0.25">
      <c r="A47" s="96">
        <v>44</v>
      </c>
      <c r="B47" s="59">
        <v>9</v>
      </c>
      <c r="C47" s="59">
        <v>5.5</v>
      </c>
      <c r="D47" s="62">
        <f t="shared" si="5"/>
        <v>2.6440677966101696</v>
      </c>
      <c r="E47" s="62">
        <f t="shared" si="6"/>
        <v>-0.74576271186440657</v>
      </c>
      <c r="F47" s="64">
        <f t="shared" si="2"/>
        <v>-1.9718471703533462</v>
      </c>
      <c r="G47" s="62">
        <f t="shared" si="3"/>
        <v>6.9910945130709568</v>
      </c>
      <c r="H47" s="64">
        <f t="shared" si="4"/>
        <v>0.55616202240735391</v>
      </c>
    </row>
    <row r="48" spans="1:8" ht="24" customHeight="1" x14ac:dyDescent="0.25">
      <c r="A48" s="96">
        <v>45</v>
      </c>
      <c r="B48" s="59">
        <v>6</v>
      </c>
      <c r="C48" s="59">
        <v>7.5</v>
      </c>
      <c r="D48" s="62">
        <f t="shared" si="5"/>
        <v>-0.35593220338983045</v>
      </c>
      <c r="E48" s="62">
        <f t="shared" si="6"/>
        <v>1.2542372881355934</v>
      </c>
      <c r="F48" s="64">
        <f t="shared" si="2"/>
        <v>-0.44642344153978741</v>
      </c>
      <c r="G48" s="62">
        <f t="shared" si="3"/>
        <v>0.12668773340993963</v>
      </c>
      <c r="H48" s="64">
        <f t="shared" si="4"/>
        <v>1.5731111749497275</v>
      </c>
    </row>
    <row r="49" spans="1:9" ht="24" customHeight="1" x14ac:dyDescent="0.25">
      <c r="A49" s="96">
        <v>46</v>
      </c>
      <c r="B49" s="59">
        <v>6</v>
      </c>
      <c r="C49" s="59">
        <v>5.5</v>
      </c>
      <c r="D49" s="62">
        <f t="shared" si="5"/>
        <v>-0.35593220338983045</v>
      </c>
      <c r="E49" s="62">
        <f t="shared" si="6"/>
        <v>-0.74576271186440657</v>
      </c>
      <c r="F49" s="64">
        <f t="shared" si="2"/>
        <v>0.26544096523987348</v>
      </c>
      <c r="G49" s="62">
        <f t="shared" si="3"/>
        <v>0.12668773340993963</v>
      </c>
      <c r="H49" s="64">
        <f t="shared" si="4"/>
        <v>0.55616202240735391</v>
      </c>
    </row>
    <row r="50" spans="1:9" ht="24" customHeight="1" x14ac:dyDescent="0.25">
      <c r="A50" s="96">
        <v>47</v>
      </c>
      <c r="B50" s="59">
        <v>3</v>
      </c>
      <c r="C50" s="59">
        <v>7.5</v>
      </c>
      <c r="D50" s="62">
        <f t="shared" si="5"/>
        <v>-3.3559322033898304</v>
      </c>
      <c r="E50" s="62">
        <f t="shared" si="6"/>
        <v>1.2542372881355934</v>
      </c>
      <c r="F50" s="64">
        <f t="shared" si="2"/>
        <v>-4.2091353059465675</v>
      </c>
      <c r="G50" s="62">
        <f t="shared" si="3"/>
        <v>11.262280953748922</v>
      </c>
      <c r="H50" s="64">
        <f t="shared" si="4"/>
        <v>1.5731111749497275</v>
      </c>
    </row>
    <row r="51" spans="1:9" ht="24" customHeight="1" x14ac:dyDescent="0.25">
      <c r="A51" s="96">
        <v>48</v>
      </c>
      <c r="B51" s="59">
        <v>9</v>
      </c>
      <c r="C51" s="59">
        <v>5.5</v>
      </c>
      <c r="D51" s="62">
        <f t="shared" si="5"/>
        <v>2.6440677966101696</v>
      </c>
      <c r="E51" s="62">
        <f t="shared" si="6"/>
        <v>-0.74576271186440657</v>
      </c>
      <c r="F51" s="64">
        <f t="shared" si="2"/>
        <v>-1.9718471703533462</v>
      </c>
      <c r="G51" s="62">
        <f t="shared" si="3"/>
        <v>6.9910945130709568</v>
      </c>
      <c r="H51" s="64">
        <f t="shared" si="4"/>
        <v>0.55616202240735391</v>
      </c>
    </row>
    <row r="52" spans="1:9" ht="24" customHeight="1" x14ac:dyDescent="0.25">
      <c r="A52" s="96">
        <v>49</v>
      </c>
      <c r="B52" s="59">
        <v>6</v>
      </c>
      <c r="C52" s="59">
        <v>7.5</v>
      </c>
      <c r="D52" s="62">
        <f t="shared" si="5"/>
        <v>-0.35593220338983045</v>
      </c>
      <c r="E52" s="62">
        <f t="shared" si="6"/>
        <v>1.2542372881355934</v>
      </c>
      <c r="F52" s="64">
        <f t="shared" si="2"/>
        <v>-0.44642344153978741</v>
      </c>
      <c r="G52" s="62">
        <f t="shared" si="3"/>
        <v>0.12668773340993963</v>
      </c>
      <c r="H52" s="64">
        <f t="shared" si="4"/>
        <v>1.5731111749497275</v>
      </c>
    </row>
    <row r="53" spans="1:9" ht="24" customHeight="1" x14ac:dyDescent="0.25">
      <c r="A53" s="96">
        <v>50</v>
      </c>
      <c r="B53" s="59">
        <v>3</v>
      </c>
      <c r="C53" s="59">
        <v>7.5</v>
      </c>
      <c r="D53" s="62">
        <f t="shared" si="5"/>
        <v>-3.3559322033898304</v>
      </c>
      <c r="E53" s="62">
        <f t="shared" si="6"/>
        <v>1.2542372881355934</v>
      </c>
      <c r="F53" s="64">
        <f t="shared" si="2"/>
        <v>-4.2091353059465675</v>
      </c>
      <c r="G53" s="62">
        <f t="shared" si="3"/>
        <v>11.262280953748922</v>
      </c>
      <c r="H53" s="64">
        <f t="shared" si="4"/>
        <v>1.5731111749497275</v>
      </c>
    </row>
    <row r="54" spans="1:9" ht="24" customHeight="1" x14ac:dyDescent="0.25">
      <c r="A54" s="96">
        <v>51</v>
      </c>
      <c r="B54" s="59">
        <v>9</v>
      </c>
      <c r="C54" s="59">
        <v>5.5</v>
      </c>
      <c r="D54" s="62">
        <f t="shared" si="5"/>
        <v>2.6440677966101696</v>
      </c>
      <c r="E54" s="62">
        <f t="shared" si="6"/>
        <v>-0.74576271186440657</v>
      </c>
      <c r="F54" s="64">
        <f t="shared" si="2"/>
        <v>-1.9718471703533462</v>
      </c>
      <c r="G54" s="62">
        <f t="shared" si="3"/>
        <v>6.9910945130709568</v>
      </c>
      <c r="H54" s="64">
        <f t="shared" si="4"/>
        <v>0.55616202240735391</v>
      </c>
    </row>
    <row r="55" spans="1:9" ht="24" customHeight="1" x14ac:dyDescent="0.25">
      <c r="A55" s="96">
        <v>52</v>
      </c>
      <c r="B55" s="59">
        <v>6</v>
      </c>
      <c r="C55" s="59">
        <v>7.5</v>
      </c>
      <c r="D55" s="62">
        <f t="shared" si="5"/>
        <v>-0.35593220338983045</v>
      </c>
      <c r="E55" s="62">
        <f t="shared" si="6"/>
        <v>1.2542372881355934</v>
      </c>
      <c r="F55" s="64">
        <f t="shared" si="2"/>
        <v>-0.44642344153978741</v>
      </c>
      <c r="G55" s="62">
        <f>POWER(D55,2)</f>
        <v>0.12668773340993963</v>
      </c>
      <c r="H55" s="64">
        <f t="shared" si="4"/>
        <v>1.5731111749497275</v>
      </c>
    </row>
    <row r="56" spans="1:9" ht="24" customHeight="1" x14ac:dyDescent="0.25">
      <c r="A56" s="96">
        <v>53</v>
      </c>
      <c r="B56" s="59">
        <v>11</v>
      </c>
      <c r="C56" s="59">
        <v>4</v>
      </c>
      <c r="D56" s="62">
        <f t="shared" si="5"/>
        <v>4.6440677966101696</v>
      </c>
      <c r="E56" s="62">
        <f t="shared" si="6"/>
        <v>-2.2457627118644066</v>
      </c>
      <c r="F56" s="64">
        <f t="shared" si="2"/>
        <v>-10.429474288997413</v>
      </c>
      <c r="G56" s="62">
        <f t="shared" si="3"/>
        <v>21.567365699511637</v>
      </c>
      <c r="H56" s="64">
        <f t="shared" si="4"/>
        <v>5.0434501580005735</v>
      </c>
    </row>
    <row r="57" spans="1:9" ht="24" customHeight="1" x14ac:dyDescent="0.25">
      <c r="A57" s="96">
        <v>54</v>
      </c>
      <c r="B57" s="59">
        <v>6</v>
      </c>
      <c r="C57" s="59">
        <v>5.5</v>
      </c>
      <c r="D57" s="62">
        <f t="shared" si="5"/>
        <v>-0.35593220338983045</v>
      </c>
      <c r="E57" s="62">
        <f t="shared" si="6"/>
        <v>-0.74576271186440657</v>
      </c>
      <c r="F57" s="64">
        <f t="shared" si="2"/>
        <v>0.26544096523987348</v>
      </c>
      <c r="G57" s="62">
        <f t="shared" si="3"/>
        <v>0.12668773340993963</v>
      </c>
      <c r="H57" s="64">
        <f t="shared" si="4"/>
        <v>0.55616202240735391</v>
      </c>
    </row>
    <row r="58" spans="1:9" ht="24" customHeight="1" x14ac:dyDescent="0.25">
      <c r="A58" s="96">
        <v>55</v>
      </c>
      <c r="B58" s="59">
        <v>3</v>
      </c>
      <c r="C58" s="59">
        <v>7.5</v>
      </c>
      <c r="D58" s="62">
        <f t="shared" si="5"/>
        <v>-3.3559322033898304</v>
      </c>
      <c r="E58" s="62">
        <f t="shared" si="6"/>
        <v>1.2542372881355934</v>
      </c>
      <c r="F58" s="64">
        <f t="shared" si="2"/>
        <v>-4.2091353059465675</v>
      </c>
      <c r="G58" s="62">
        <f t="shared" si="3"/>
        <v>11.262280953748922</v>
      </c>
      <c r="H58" s="64">
        <f t="shared" si="4"/>
        <v>1.5731111749497275</v>
      </c>
    </row>
    <row r="59" spans="1:9" ht="24" customHeight="1" x14ac:dyDescent="0.25">
      <c r="A59" s="96">
        <v>56</v>
      </c>
      <c r="B59" s="59">
        <v>9</v>
      </c>
      <c r="C59" s="59">
        <v>5.5</v>
      </c>
      <c r="D59" s="62">
        <f t="shared" si="5"/>
        <v>2.6440677966101696</v>
      </c>
      <c r="E59" s="62">
        <f t="shared" si="6"/>
        <v>-0.74576271186440657</v>
      </c>
      <c r="F59" s="64">
        <f t="shared" si="2"/>
        <v>-1.9718471703533462</v>
      </c>
      <c r="G59" s="62">
        <f t="shared" si="3"/>
        <v>6.9910945130709568</v>
      </c>
      <c r="H59" s="64">
        <f t="shared" si="4"/>
        <v>0.55616202240735391</v>
      </c>
    </row>
    <row r="60" spans="1:9" ht="24" customHeight="1" x14ac:dyDescent="0.25">
      <c r="A60" s="96">
        <v>57</v>
      </c>
      <c r="B60" s="59">
        <v>6</v>
      </c>
      <c r="C60" s="59">
        <v>7.5</v>
      </c>
      <c r="D60" s="62">
        <f t="shared" si="5"/>
        <v>-0.35593220338983045</v>
      </c>
      <c r="E60" s="62">
        <f t="shared" si="6"/>
        <v>1.2542372881355934</v>
      </c>
      <c r="F60" s="64">
        <f t="shared" si="2"/>
        <v>-0.44642344153978741</v>
      </c>
      <c r="G60" s="62">
        <f t="shared" si="3"/>
        <v>0.12668773340993963</v>
      </c>
      <c r="H60" s="64">
        <f t="shared" si="4"/>
        <v>1.5731111749497275</v>
      </c>
    </row>
    <row r="61" spans="1:9" ht="24" customHeight="1" x14ac:dyDescent="0.25">
      <c r="A61" s="96">
        <v>58</v>
      </c>
      <c r="B61" s="59">
        <v>6</v>
      </c>
      <c r="C61" s="59">
        <v>5.5</v>
      </c>
      <c r="D61" s="62">
        <f t="shared" si="5"/>
        <v>-0.35593220338983045</v>
      </c>
      <c r="E61" s="62">
        <f t="shared" si="6"/>
        <v>-0.74576271186440657</v>
      </c>
      <c r="F61" s="64">
        <f t="shared" si="2"/>
        <v>0.26544096523987348</v>
      </c>
      <c r="G61" s="62">
        <f t="shared" si="3"/>
        <v>0.12668773340993963</v>
      </c>
      <c r="H61" s="64">
        <f t="shared" si="4"/>
        <v>0.55616202240735391</v>
      </c>
      <c r="I61" s="66"/>
    </row>
    <row r="62" spans="1:9" ht="24" customHeight="1" x14ac:dyDescent="0.25">
      <c r="A62" s="96">
        <v>59</v>
      </c>
      <c r="B62" s="59">
        <v>3</v>
      </c>
      <c r="C62" s="59">
        <v>7.5</v>
      </c>
      <c r="D62" s="62">
        <f t="shared" si="5"/>
        <v>-3.3559322033898304</v>
      </c>
      <c r="E62" s="62">
        <f t="shared" si="6"/>
        <v>1.2542372881355934</v>
      </c>
      <c r="F62" s="64">
        <f t="shared" si="2"/>
        <v>-4.2091353059465675</v>
      </c>
      <c r="G62" s="62">
        <f>POWER(D62,2)</f>
        <v>11.262280953748922</v>
      </c>
      <c r="H62" s="64">
        <f t="shared" si="4"/>
        <v>1.5731111749497275</v>
      </c>
    </row>
    <row r="63" spans="1:9" ht="24" customHeight="1" x14ac:dyDescent="0.25">
      <c r="A63" s="96" t="s">
        <v>89</v>
      </c>
      <c r="B63" s="63">
        <f>SUM(B4:B62)</f>
        <v>375</v>
      </c>
      <c r="C63" s="62">
        <f>SUM(C4:C62)</f>
        <v>368.5</v>
      </c>
      <c r="F63" s="64">
        <f>SUM(F4:F62)</f>
        <v>-146.16101694915255</v>
      </c>
      <c r="G63" s="62">
        <f>SUM(G4:G62)</f>
        <v>385.52542372881356</v>
      </c>
      <c r="H63" s="64">
        <f>SUM(H4:H62)</f>
        <v>97.186440677966104</v>
      </c>
    </row>
  </sheetData>
  <mergeCells count="7">
    <mergeCell ref="J15:J16"/>
    <mergeCell ref="K15:K16"/>
    <mergeCell ref="A1:H1"/>
    <mergeCell ref="J11:J12"/>
    <mergeCell ref="K11:K12"/>
    <mergeCell ref="J13:J14"/>
    <mergeCell ref="K13:K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Recopilacion Datos</vt:lpstr>
      <vt:lpstr>2. Analisis descriptivo</vt:lpstr>
      <vt:lpstr>3. Analisis de regresión y 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Cárdenas</dc:creator>
  <cp:lastModifiedBy>Valentina Cano Meneses</cp:lastModifiedBy>
  <dcterms:created xsi:type="dcterms:W3CDTF">2026-10-05T21:27:40Z</dcterms:created>
  <dcterms:modified xsi:type="dcterms:W3CDTF">2026-10-15T03:08:38Z</dcterms:modified>
</cp:coreProperties>
</file>